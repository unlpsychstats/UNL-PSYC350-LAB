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ilable Tests" sheetId="1" state="visible" r:id="rId3"/>
    <sheet name="F or t or d -&gt;r" sheetId="2" state="visible" r:id="rId4"/>
    <sheet name="F or t or means or r -&gt; d" sheetId="3" state="visible" r:id="rId5"/>
    <sheet name="pr_means-&gt; r &amp; d" sheetId="4" state="visible" r:id="rId6"/>
    <sheet name="ChiSq-&gt;r" sheetId="5" state="visible" r:id="rId7"/>
    <sheet name="pr_chi&gt;r" sheetId="6" state="visible" r:id="rId8"/>
    <sheet name="Outlier Bourndries" sheetId="7" state="visible" r:id="rId9"/>
    <sheet name="LSD-HSD" sheetId="8" state="visible" r:id="rId10"/>
    <sheet name="Rsq chng F-test" sheetId="9" state="visible" r:id="rId11"/>
    <sheet name="Steiger's Z" sheetId="10" state="visible" r:id="rId12"/>
    <sheet name="Fisher's Z" sheetId="11" state="visible" r:id="rId13"/>
    <sheet name="b comp Z-test" sheetId="12" state="visible" r:id="rId14"/>
    <sheet name="McNemar's Chisq" sheetId="13" state="visible" r:id="rId15"/>
    <sheet name="Nested ChiSq test" sheetId="14" state="visible" r:id="rId16"/>
    <sheet name="Path Tests" sheetId="15" state="visible" r:id="rId1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<sst xmlns="http://schemas.openxmlformats.org/spreadsheetml/2006/main" count="249" uniqueCount="191">
  <si>
    <t xml:space="preserve">Cal's Computators</t>
  </si>
  <si>
    <t xml:space="preserve">Named for Marvin the Martin's computational device!</t>
  </si>
  <si>
    <t xml:space="preserve">Hope these help!   </t>
  </si>
  <si>
    <t xml:space="preserve">cgarbin@unl.edu for comments, complaints, etc!!</t>
  </si>
  <si>
    <t xml:space="preserve">Tab</t>
  </si>
  <si>
    <t xml:space="preserve">    What it computes</t>
  </si>
  <si>
    <t xml:space="preserve">F or t or d--&gt; r</t>
  </si>
  <si>
    <t xml:space="preserve">r effect size from F-values, t-values or d</t>
  </si>
  <si>
    <t xml:space="preserve">F or t --&gt; d</t>
  </si>
  <si>
    <t xml:space="preserve">d effect size from F-values, t-values, means &amp; std &amp; n or means &amp; Mse or r</t>
  </si>
  <si>
    <t xml:space="preserve">pr_means--&gt;r</t>
  </si>
  <si>
    <t xml:space="preserve">pairwise r effect size from cell means and Mserror - caculating Mserror from means &amp; Ns</t>
  </si>
  <si>
    <t xml:space="preserve">ChiSq --&gt; r</t>
  </si>
  <si>
    <t xml:space="preserve">r effect size from ChiSq-values</t>
  </si>
  <si>
    <t xml:space="preserve">pr_chi --&gt; r</t>
  </si>
  <si>
    <t xml:space="preserve">2x2 ChiSq and r</t>
  </si>
  <si>
    <t xml:space="preserve">Outier Boundries</t>
  </si>
  <si>
    <t xml:space="preserve">Calculate Hoaglin, Mostteller &amp; Tukey Outlier Boundries from Hinge or Quartile values</t>
  </si>
  <si>
    <t xml:space="preserve">LSD/HSD</t>
  </si>
  <si>
    <t xml:space="preserve">LSD &amp; HSD minimum mean difference values</t>
  </si>
  <si>
    <t xml:space="preserve">Rsq chng F-test</t>
  </si>
  <si>
    <t xml:space="preserve">R-square Change F-test for comparing nested regression/ldf models</t>
  </si>
  <si>
    <t xml:space="preserve">Steiger's Z</t>
  </si>
  <si>
    <t xml:space="preserve">Steiger's Z-test for comparing "correlated correlations" &amp; "non-nested regresssion models"</t>
  </si>
  <si>
    <t xml:space="preserve">Fisher's Z</t>
  </si>
  <si>
    <t xml:space="preserve">Fisher's Z-test for comparing correlations  &amp; model fit across groups/populations</t>
  </si>
  <si>
    <t xml:space="preserve">b comp Z-test</t>
  </si>
  <si>
    <t xml:space="preserve">comparing raw regression weights across groups/populattions</t>
  </si>
  <si>
    <t xml:space="preserve">McNemar's ChiSq</t>
  </si>
  <si>
    <t xml:space="preserve">McNemar's ChiSq test for comparing classification accuracy of LDF models</t>
  </si>
  <si>
    <t xml:space="preserve">Nested ChiSq test</t>
  </si>
  <si>
    <t xml:space="preserve">Comparing ChiSq from nested models (ldf, logit, logistic, loglinear, etc)</t>
  </si>
  <si>
    <t xml:space="preserve">Path Tests</t>
  </si>
  <si>
    <t xml:space="preserve">Q-test fof comparing (nested) path analysis models</t>
  </si>
  <si>
    <t xml:space="preserve">Effect Size (r ) for ANOVA &amp; t-tests</t>
  </si>
  <si>
    <r>
      <rPr>
        <b val="true"/>
        <sz val="12"/>
        <rFont val="Arial"/>
        <family val="2"/>
      </rPr>
      <t xml:space="preserve">Enter F</t>
    </r>
    <r>
      <rPr>
        <sz val="10"/>
        <rFont val="Arial"/>
        <family val="2"/>
      </rPr>
      <t xml:space="preserve"> =&gt;</t>
    </r>
  </si>
  <si>
    <r>
      <rPr>
        <b val="true"/>
        <sz val="12"/>
        <rFont val="Arial"/>
        <family val="2"/>
      </rPr>
      <t xml:space="preserve">Enter df-effect</t>
    </r>
    <r>
      <rPr>
        <sz val="10"/>
        <rFont val="Arial"/>
        <family val="2"/>
      </rPr>
      <t xml:space="preserve"> =&gt;</t>
    </r>
  </si>
  <si>
    <r>
      <rPr>
        <b val="true"/>
        <sz val="12"/>
        <rFont val="Arial"/>
        <family val="2"/>
      </rPr>
      <t xml:space="preserve">Enter df-error</t>
    </r>
    <r>
      <rPr>
        <sz val="10"/>
        <rFont val="Arial"/>
        <family val="2"/>
      </rPr>
      <t xml:space="preserve"> =&gt;</t>
    </r>
  </si>
  <si>
    <t xml:space="preserve">r =  </t>
  </si>
  <si>
    <r>
      <rPr>
        <b val="true"/>
        <sz val="12"/>
        <rFont val="Arial"/>
        <family val="2"/>
      </rPr>
      <t xml:space="preserve">Enter t</t>
    </r>
    <r>
      <rPr>
        <sz val="10"/>
        <rFont val="Arial"/>
        <family val="2"/>
      </rPr>
      <t xml:space="preserve"> =&gt;</t>
    </r>
  </si>
  <si>
    <t xml:space="preserve">Enter  d =&gt;</t>
  </si>
  <si>
    <t xml:space="preserve">n</t>
  </si>
  <si>
    <t xml:space="preserve">dnum</t>
  </si>
  <si>
    <t xml:space="preserve">ddem</t>
  </si>
  <si>
    <t xml:space="preserve">d</t>
  </si>
  <si>
    <t xml:space="preserve">Effect Size (d ) for ANOVA &amp; t-tests</t>
  </si>
  <si>
    <r>
      <rPr>
        <b val="true"/>
        <sz val="12"/>
        <rFont val="Arial"/>
        <family val="2"/>
      </rPr>
      <t xml:space="preserve">Enter n1</t>
    </r>
    <r>
      <rPr>
        <sz val="10"/>
        <rFont val="Arial"/>
        <family val="2"/>
      </rPr>
      <t xml:space="preserve"> =&gt;</t>
    </r>
  </si>
  <si>
    <r>
      <rPr>
        <b val="true"/>
        <sz val="12"/>
        <rFont val="Arial"/>
        <family val="2"/>
      </rPr>
      <t xml:space="preserve">Enter n2</t>
    </r>
    <r>
      <rPr>
        <sz val="10"/>
        <rFont val="Arial"/>
        <family val="2"/>
      </rPr>
      <t xml:space="preserve"> =&gt;</t>
    </r>
  </si>
  <si>
    <t xml:space="preserve">d =  </t>
  </si>
  <si>
    <t xml:space="preserve"> </t>
  </si>
  <si>
    <t xml:space="preserve">G1</t>
  </si>
  <si>
    <t xml:space="preserve">G2</t>
  </si>
  <si>
    <t xml:space="preserve">Enter =&gt; </t>
  </si>
  <si>
    <r>
      <rPr>
        <b val="true"/>
        <sz val="12"/>
        <rFont val="Arial"/>
        <family val="2"/>
      </rPr>
      <t xml:space="preserve">mean</t>
    </r>
    <r>
      <rPr>
        <b val="true"/>
        <sz val="10"/>
        <rFont val="Arial"/>
        <family val="2"/>
      </rPr>
      <t xml:space="preserve"> =&gt;</t>
    </r>
    <r>
      <rPr>
        <b val="true"/>
        <sz val="12"/>
        <rFont val="Arial"/>
        <family val="2"/>
      </rPr>
      <t xml:space="preserve">         </t>
    </r>
  </si>
  <si>
    <r>
      <rPr>
        <b val="true"/>
        <sz val="12"/>
        <rFont val="Arial"/>
        <family val="2"/>
      </rPr>
      <t xml:space="preserve">std </t>
    </r>
    <r>
      <rPr>
        <b val="true"/>
        <sz val="10"/>
        <rFont val="Arial"/>
        <family val="2"/>
      </rPr>
      <t xml:space="preserve">=&gt;</t>
    </r>
  </si>
  <si>
    <r>
      <rPr>
        <b val="true"/>
        <sz val="12"/>
        <rFont val="Arial"/>
        <family val="2"/>
      </rPr>
      <t xml:space="preserve">n </t>
    </r>
    <r>
      <rPr>
        <b val="true"/>
        <sz val="10"/>
        <rFont val="Arial"/>
        <family val="2"/>
      </rPr>
      <t xml:space="preserve">=&gt;</t>
    </r>
  </si>
  <si>
    <t xml:space="preserve">d =   </t>
  </si>
  <si>
    <t xml:space="preserve">MSE =&gt;</t>
  </si>
  <si>
    <t xml:space="preserve">Enter  r =&gt;</t>
  </si>
  <si>
    <t xml:space="preserve">Effect Size (r &amp; d) for Pairwise Mean Comparison</t>
  </si>
  <si>
    <t xml:space="preserve">Drop-down values &amp; intermediate results</t>
  </si>
  <si>
    <t xml:space="preserve">Between Groups</t>
  </si>
  <si>
    <t xml:space="preserve">Within-Groups</t>
  </si>
  <si>
    <r>
      <rPr>
        <b val="true"/>
        <sz val="12"/>
        <rFont val="Arial"/>
        <family val="2"/>
      </rPr>
      <t xml:space="preserve">Select the type of  ANOVA design</t>
    </r>
    <r>
      <rPr>
        <sz val="10"/>
        <rFont val="Arial"/>
        <family val="2"/>
      </rPr>
      <t xml:space="preserve"> =&gt;</t>
    </r>
  </si>
  <si>
    <t xml:space="preserve">BG d=</t>
  </si>
  <si>
    <r>
      <rPr>
        <b val="true"/>
        <sz val="12"/>
        <rFont val="Arial"/>
        <family val="2"/>
      </rPr>
      <t xml:space="preserve">Enter mean #1</t>
    </r>
    <r>
      <rPr>
        <sz val="10"/>
        <rFont val="Arial"/>
        <family val="2"/>
      </rPr>
      <t xml:space="preserve"> =&gt;</t>
    </r>
  </si>
  <si>
    <t xml:space="preserve">bg dsq = </t>
  </si>
  <si>
    <r>
      <rPr>
        <b val="true"/>
        <sz val="12"/>
        <rFont val="Arial"/>
        <family val="2"/>
      </rPr>
      <t xml:space="preserve">Enter mean #2</t>
    </r>
    <r>
      <rPr>
        <sz val="10"/>
        <rFont val="Arial"/>
        <family val="2"/>
      </rPr>
      <t xml:space="preserve"> =&gt;</t>
    </r>
  </si>
  <si>
    <t xml:space="preserve">WG d =</t>
  </si>
  <si>
    <r>
      <rPr>
        <b val="true"/>
        <sz val="12"/>
        <rFont val="Arial"/>
        <family val="2"/>
      </rPr>
      <t xml:space="preserve">Enter MSe</t>
    </r>
    <r>
      <rPr>
        <sz val="10"/>
        <rFont val="Arial"/>
        <family val="2"/>
      </rPr>
      <t xml:space="preserve"> (Mean Square Error) =&gt;</t>
    </r>
  </si>
  <si>
    <t xml:space="preserve">wg dsq =</t>
  </si>
  <si>
    <t xml:space="preserve">rbg =</t>
  </si>
  <si>
    <t xml:space="preserve">r = </t>
  </si>
  <si>
    <t xml:space="preserve">rwg = </t>
  </si>
  <si>
    <t xml:space="preserve">d = </t>
  </si>
  <si>
    <t xml:space="preserve">  For BG ANOVA Only             g1 mean =&gt;</t>
  </si>
  <si>
    <t xml:space="preserve">Computing MSE                             g1 n =&gt;   </t>
  </si>
  <si>
    <t xml:space="preserve">g2 mean =&gt;</t>
  </si>
  <si>
    <t xml:space="preserve">n1_n2</t>
  </si>
  <si>
    <t xml:space="preserve">g2 n =&gt;</t>
  </si>
  <si>
    <t xml:space="preserve">MSbg</t>
  </si>
  <si>
    <t xml:space="preserve">F =&gt;</t>
  </si>
  <si>
    <t xml:space="preserve">Mse = </t>
  </si>
  <si>
    <t xml:space="preserve">Effect Size (r) for Chi-Square</t>
  </si>
  <si>
    <r>
      <rPr>
        <b val="true"/>
        <sz val="12"/>
        <rFont val="Arial"/>
        <family val="2"/>
      </rPr>
      <t xml:space="preserve">Enter Chi-Square</t>
    </r>
    <r>
      <rPr>
        <sz val="10"/>
        <rFont val="Arial"/>
        <family val="2"/>
      </rPr>
      <t xml:space="preserve"> =&gt;</t>
    </r>
  </si>
  <si>
    <r>
      <rPr>
        <b val="true"/>
        <sz val="12"/>
        <rFont val="Arial"/>
        <family val="2"/>
      </rPr>
      <t xml:space="preserve">Enter df </t>
    </r>
    <r>
      <rPr>
        <sz val="10"/>
        <rFont val="Arial"/>
        <family val="2"/>
      </rPr>
      <t xml:space="preserve">=&gt;</t>
    </r>
  </si>
  <si>
    <r>
      <rPr>
        <b val="true"/>
        <sz val="12"/>
        <rFont val="Arial"/>
        <family val="2"/>
      </rPr>
      <t xml:space="preserve">Enter N</t>
    </r>
    <r>
      <rPr>
        <sz val="10"/>
        <rFont val="Arial"/>
        <family val="2"/>
      </rPr>
      <t xml:space="preserve"> =&gt;</t>
    </r>
  </si>
  <si>
    <t xml:space="preserve">Effect Size (r) for Pairwise Chi-square Comparisons</t>
  </si>
  <si>
    <t xml:space="preserve">Insert frequencies for the 2x2 pairwise comparison       =&gt;</t>
  </si>
  <si>
    <t xml:space="preserve">Chi-square = </t>
  </si>
  <si>
    <t xml:space="preserve">p = </t>
  </si>
  <si>
    <t xml:space="preserve">Bonferroni-corrected p-values for various numbers of pairwise comparisons</t>
  </si>
  <si>
    <t xml:space="preserve">Number of comditions</t>
  </si>
  <si>
    <t xml:space="preserve">Number of comparisons</t>
  </si>
  <si>
    <t xml:space="preserve">critical 
p-value</t>
  </si>
  <si>
    <t xml:space="preserve">intermediate values</t>
  </si>
  <si>
    <t xml:space="preserve">a =</t>
  </si>
  <si>
    <t xml:space="preserve">b =</t>
  </si>
  <si>
    <t xml:space="preserve">c =</t>
  </si>
  <si>
    <t xml:space="preserve">d =</t>
  </si>
  <si>
    <t xml:space="preserve">n =</t>
  </si>
  <si>
    <t xml:space="preserve">(ad-bc)</t>
  </si>
  <si>
    <t xml:space="preserve">Outlier Boundry Calculator</t>
  </si>
  <si>
    <t xml:space="preserve">Q1 or Lower Hinge  =&gt;  </t>
  </si>
  <si>
    <t xml:space="preserve">&lt;=  Q3 or Lower Hinge</t>
  </si>
  <si>
    <t xml:space="preserve">Lower Boundry =</t>
  </si>
  <si>
    <r>
      <rPr>
        <b val="true"/>
        <sz val="12"/>
        <color rgb="FFFFFFFF"/>
        <rFont val="Arial"/>
        <family val="2"/>
      </rPr>
      <t xml:space="preserve">.</t>
    </r>
    <r>
      <rPr>
        <b val="true"/>
        <sz val="12"/>
        <color rgb="FFFF6600"/>
        <rFont val="Arial"/>
        <family val="2"/>
      </rPr>
      <t xml:space="preserve">= Upper Boundry</t>
    </r>
  </si>
  <si>
    <t xml:space="preserve">LSD &amp; HSD Minimum Mean Difference Computator</t>
  </si>
  <si>
    <t xml:space="preserve">Studentized Range Statistics</t>
  </si>
  <si>
    <t xml:space="preserve">df</t>
  </si>
  <si>
    <t xml:space="preserve">tcrit p=.05</t>
  </si>
  <si>
    <t xml:space="preserve">   k=3</t>
  </si>
  <si>
    <t xml:space="preserve">k=4</t>
  </si>
  <si>
    <t xml:space="preserve">k=5</t>
  </si>
  <si>
    <t xml:space="preserve">k=6</t>
  </si>
  <si>
    <r>
      <rPr>
        <b val="true"/>
        <sz val="12"/>
        <rFont val="Arial"/>
        <family val="2"/>
      </rPr>
      <t xml:space="preserve">Enter k</t>
    </r>
    <r>
      <rPr>
        <sz val="10"/>
        <rFont val="Arial"/>
        <family val="2"/>
      </rPr>
      <t xml:space="preserve"> (number of conditions in the effect) =&gt; </t>
    </r>
  </si>
  <si>
    <r>
      <rPr>
        <b val="true"/>
        <sz val="12"/>
        <rFont val="Arial"/>
        <family val="2"/>
      </rPr>
      <t xml:space="preserve">Enter n</t>
    </r>
    <r>
      <rPr>
        <sz val="10"/>
        <rFont val="Arial"/>
        <family val="2"/>
      </rPr>
      <t xml:space="preserve"> (average number of data points upon which each mean is based - N/k) =&gt;</t>
    </r>
  </si>
  <si>
    <r>
      <rPr>
        <b val="true"/>
        <sz val="12"/>
        <rFont val="Arial"/>
        <family val="2"/>
      </rPr>
      <t xml:space="preserve">Select dferror</t>
    </r>
    <r>
      <rPr>
        <sz val="10"/>
        <rFont val="Arial"/>
        <family val="2"/>
      </rPr>
      <t xml:space="preserve"> (error degrees of freedom - use "next smallest" if no exact match) =&gt;</t>
    </r>
  </si>
  <si>
    <t xml:space="preserve">LSD minimum mean difference =</t>
  </si>
  <si>
    <t xml:space="preserve">HSD minimum mean difference =</t>
  </si>
  <si>
    <t xml:space="preserve">R-square Change F-test</t>
  </si>
  <si>
    <t xml:space="preserve">Rsq Larger Model =&gt;</t>
  </si>
  <si>
    <t xml:space="preserve"># predictors =&gt;</t>
  </si>
  <si>
    <t xml:space="preserve">Rsq Smaller Model =&gt;</t>
  </si>
  <si>
    <t xml:space="preserve">N =&gt;</t>
  </si>
  <si>
    <t xml:space="preserve">F = </t>
  </si>
  <si>
    <t xml:space="preserve">df change = </t>
  </si>
  <si>
    <t xml:space="preserve">df errror = </t>
  </si>
  <si>
    <t xml:space="preserve">Tabachnick, B.G. and Fidell, L.S. (2013) Using Multivariate Statistics. Pearson, Boston.</t>
  </si>
  <si>
    <t xml:space="preserve">Steiger's Z-test - Comparing Correlated Correlations</t>
  </si>
  <si>
    <r>
      <rPr>
        <b val="true"/>
        <sz val="12"/>
        <rFont val="Arial"/>
        <family val="2"/>
      </rPr>
      <t xml:space="preserve">r(1,2)</t>
    </r>
    <r>
      <rPr>
        <b val="true"/>
        <sz val="11"/>
        <rFont val="Arial"/>
        <family val="2"/>
      </rPr>
      <t xml:space="preserve"> </t>
    </r>
    <r>
      <rPr>
        <sz val="10"/>
        <rFont val="Arial"/>
        <family val="2"/>
      </rPr>
      <t xml:space="preserve">=&gt;</t>
    </r>
  </si>
  <si>
    <r>
      <rPr>
        <b val="true"/>
        <sz val="12"/>
        <rFont val="Arial"/>
        <family val="2"/>
      </rPr>
      <t xml:space="preserve">r(1,3)</t>
    </r>
    <r>
      <rPr>
        <b val="true"/>
        <sz val="11"/>
        <rFont val="Arial"/>
        <family val="2"/>
      </rPr>
      <t xml:space="preserve"> </t>
    </r>
    <r>
      <rPr>
        <sz val="10"/>
        <rFont val="Arial"/>
        <family val="2"/>
      </rPr>
      <t xml:space="preserve">=&gt;</t>
    </r>
  </si>
  <si>
    <r>
      <rPr>
        <b val="true"/>
        <sz val="12"/>
        <rFont val="Arial"/>
        <family val="2"/>
      </rPr>
      <t xml:space="preserve">r(2,3</t>
    </r>
    <r>
      <rPr>
        <b val="true"/>
        <sz val="11"/>
        <rFont val="Arial"/>
        <family val="2"/>
      </rPr>
      <t xml:space="preserve">) </t>
    </r>
    <r>
      <rPr>
        <sz val="10"/>
        <rFont val="Arial"/>
        <family val="2"/>
      </rPr>
      <t xml:space="preserve">=&gt;</t>
    </r>
  </si>
  <si>
    <r>
      <rPr>
        <b val="true"/>
        <sz val="12"/>
        <rFont val="Arial"/>
        <family val="2"/>
      </rPr>
      <t xml:space="preserve">N       </t>
    </r>
    <r>
      <rPr>
        <sz val="10"/>
        <rFont val="Arial"/>
        <family val="2"/>
      </rPr>
      <t xml:space="preserve">=&gt;</t>
    </r>
  </si>
  <si>
    <t xml:space="preserve">Z = </t>
  </si>
  <si>
    <t xml:space="preserve">Steiger, J. H. (1980). Tests for comparing elements of a correlation matrix. Psychological Bulletin, 87, 245-251.</t>
  </si>
  <si>
    <t xml:space="preserve">intermediate steps</t>
  </si>
  <si>
    <t xml:space="preserve">rm-sq</t>
  </si>
  <si>
    <t xml:space="preserve">f</t>
  </si>
  <si>
    <t xml:space="preserve">h</t>
  </si>
  <si>
    <t xml:space="preserve">Z1,2</t>
  </si>
  <si>
    <t xml:space="preserve">Z1,3</t>
  </si>
  <si>
    <t xml:space="preserve">rightside</t>
  </si>
  <si>
    <t xml:space="preserve">Fisher's Z-test - comparing a corrrelation across groups</t>
  </si>
  <si>
    <t xml:space="preserve">Group 1</t>
  </si>
  <si>
    <r>
      <rPr>
        <b val="true"/>
        <sz val="12"/>
        <rFont val="Arial"/>
        <family val="2"/>
      </rPr>
      <t xml:space="preserve">r(1,2)</t>
    </r>
    <r>
      <rPr>
        <sz val="10"/>
        <rFont val="Arial"/>
        <family val="0"/>
      </rPr>
      <t xml:space="preserve"> =&gt;</t>
    </r>
  </si>
  <si>
    <r>
      <rPr>
        <b val="true"/>
        <sz val="12"/>
        <rFont val="Arial"/>
        <family val="2"/>
      </rPr>
      <t xml:space="preserve">n</t>
    </r>
    <r>
      <rPr>
        <sz val="10"/>
        <rFont val="Arial"/>
        <family val="0"/>
      </rPr>
      <t xml:space="preserve"> =&gt;</t>
    </r>
  </si>
  <si>
    <t xml:space="preserve">Group 2</t>
  </si>
  <si>
    <t xml:space="preserve">Snedcor, G. W. &amp; Cochran, W. G. (1967). Statistical Methods (6th ed.). Aimes, IA: The Iowa State University Press.</t>
  </si>
  <si>
    <t xml:space="preserve">inttermediate steps</t>
  </si>
  <si>
    <t xml:space="preserve">Z g1</t>
  </si>
  <si>
    <t xml:space="preserve">Z g2</t>
  </si>
  <si>
    <t xml:space="preserve">g1 1/n-3</t>
  </si>
  <si>
    <t xml:space="preserve">g2 1/n-3</t>
  </si>
  <si>
    <t xml:space="preserve">sum</t>
  </si>
  <si>
    <t xml:space="preserve">SEZD</t>
  </si>
  <si>
    <t xml:space="preserve">Z-test for comparing raw regression weights of models from different groups</t>
  </si>
  <si>
    <t xml:space="preserve">b =&gt;</t>
  </si>
  <si>
    <t xml:space="preserve">t =&gt;</t>
  </si>
  <si>
    <t xml:space="preserve">SE =&gt;</t>
  </si>
  <si>
    <t xml:space="preserve">df (N-k-1) =&gt;</t>
  </si>
  <si>
    <t xml:space="preserve">Cohen (1983)</t>
  </si>
  <si>
    <t xml:space="preserve">SEbdif =</t>
  </si>
  <si>
    <t xml:space="preserve">Brame, et al (1995)</t>
  </si>
  <si>
    <t xml:space="preserve">Clogg, et al (1995)</t>
  </si>
  <si>
    <t xml:space="preserve">Clogg, D. D., Petkova, E., &amp; Haritou, A. (1995). Statistical Methods for Comparing Regression Coefficients Between Models. American Journal of Sociology 
Volume 100, Number 5
Mar., 1995</t>
  </si>
  <si>
    <t xml:space="preserve">McNemar's Chi-Sq Test</t>
  </si>
  <si>
    <t xml:space="preserve">Model #2</t>
  </si>
  <si>
    <t xml:space="preserve">incorrect classification</t>
  </si>
  <si>
    <t xml:space="preserve">correct classification</t>
  </si>
  <si>
    <t xml:space="preserve">Model #1</t>
  </si>
  <si>
    <t xml:space="preserve">McNemar's Chisq =</t>
  </si>
  <si>
    <t xml:space="preserve">w/ Yates's correction = </t>
  </si>
  <si>
    <t xml:space="preserve">ChiSq Change test for nested models</t>
  </si>
  <si>
    <t xml:space="preserve">ChiSq from larger model =&gt;</t>
  </si>
  <si>
    <t xml:space="preserve"> # predictors =&gt;</t>
  </si>
  <si>
    <t xml:space="preserve">ChiSq from smaller model =&gt;</t>
  </si>
  <si>
    <t xml:space="preserve">Chi-Sq Change = </t>
  </si>
  <si>
    <t xml:space="preserve">df = </t>
  </si>
  <si>
    <t xml:space="preserve">Path Coefficient Calculation</t>
  </si>
  <si>
    <t xml:space="preserve">Type R-sq for each submodel in the larger model.</t>
  </si>
  <si>
    <t xml:space="preserve">Type R-sq for each submodel of the smaller model.</t>
  </si>
  <si>
    <t xml:space="preserve">(leave unused blank)</t>
  </si>
  <si>
    <t xml:space="preserve">R-sq</t>
  </si>
  <si>
    <t xml:space="preserve">e</t>
  </si>
  <si>
    <t xml:space="preserve">Full e-sq</t>
  </si>
  <si>
    <t xml:space="preserve">Red e-sq</t>
  </si>
  <si>
    <t xml:space="preserve">N = </t>
  </si>
  <si>
    <t xml:space="preserve">Fit of model =</t>
  </si>
  <si>
    <t xml:space="preserve">Q = </t>
  </si>
  <si>
    <t xml:space="preserve">W =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</si>
</sst>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00"/>
    <numFmt numFmtId="167" formatCode="0.00"/>
  </numFmts>
  <fonts count="2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Arial"/>
      <family val="2"/>
    </font>
    <font>
      <sz val="10"/>
      <name val="Arial"/>
      <family val="2"/>
    </font>
    <font>
      <b val="true"/>
      <sz val="10"/>
      <name val="Arial"/>
      <family val="2"/>
    </font>
    <font>
      <sz val="12"/>
      <name val="Arial"/>
      <family val="2"/>
    </font>
    <font>
      <b val="true"/>
      <sz val="12"/>
      <color rgb="FFFF6600"/>
      <name val="Arial"/>
      <family val="2"/>
    </font>
    <font>
      <b val="true"/>
      <sz val="12"/>
      <name val="Arial"/>
      <family val="2"/>
    </font>
    <font>
      <b val="true"/>
      <sz val="11"/>
      <name val="Arial"/>
      <family val="2"/>
    </font>
    <font>
      <b val="true"/>
      <sz val="11"/>
      <color rgb="FFFF0000"/>
      <name val="Arial"/>
      <family val="2"/>
    </font>
    <font>
      <b val="true"/>
      <sz val="10"/>
      <color rgb="FFFF6600"/>
      <name val="Arial"/>
      <family val="2"/>
    </font>
    <font>
      <b val="true"/>
      <sz val="12"/>
      <color rgb="FFFFFFFF"/>
      <name val="Arial"/>
      <family val="2"/>
    </font>
    <font>
      <b val="true"/>
      <sz val="11"/>
      <color rgb="FFFF6600"/>
      <name val="Arial"/>
      <family val="2"/>
    </font>
    <font>
      <b val="true"/>
      <sz val="11"/>
      <color rgb="FFFF9900"/>
      <name val="Arial"/>
      <family val="2"/>
    </font>
    <font>
      <b val="true"/>
      <sz val="12"/>
      <color rgb="FFFF9900"/>
      <name val="Arial"/>
      <family val="2"/>
    </font>
    <font>
      <sz val="10"/>
      <color rgb="FFFF6600"/>
      <name val="Arial"/>
      <family val="2"/>
    </font>
    <font>
      <b val="true"/>
      <sz val="11"/>
      <color rgb="FF000000"/>
      <name val="Calibri"/>
      <family val="2"/>
    </font>
    <font>
      <b val="true"/>
      <sz val="12"/>
      <color rgb="FF000000"/>
      <name val="Calibri"/>
      <family val="2"/>
    </font>
    <font>
      <b val="true"/>
      <sz val="12"/>
      <color rgb="FFFF9900"/>
      <name val="Calibri"/>
      <family val="2"/>
    </font>
    <font>
      <b val="true"/>
      <sz val="11"/>
      <color rgb="FFFF9900"/>
      <name val="Calibri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1" width="16.28"/>
    <col collapsed="false" customWidth="true" hidden="false" outlineLevel="0" max="3" min="3" style="1" width="5.41"/>
    <col collapsed="false" customWidth="true" hidden="false" outlineLevel="0" max="4" min="4" style="0" width="77.41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2.75" hidden="false" customHeight="false" outlineLevel="0" collapsed="false">
      <c r="D2" s="3" t="s">
        <v>1</v>
      </c>
    </row>
    <row r="3" customFormat="false" ht="12.7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12.75" hidden="false" customHeight="false" outlineLevel="0" collapsed="false">
      <c r="A4" s="5" t="s">
        <v>3</v>
      </c>
      <c r="B4" s="5"/>
      <c r="C4" s="5"/>
      <c r="D4" s="5"/>
      <c r="E4" s="5"/>
      <c r="F4" s="5"/>
      <c r="G4" s="5"/>
    </row>
    <row r="5" customFormat="false" ht="12.75" hidden="false" customHeight="false" outlineLevel="0" collapsed="false">
      <c r="B5" s="6" t="s">
        <v>4</v>
      </c>
      <c r="D5" s="7" t="s">
        <v>5</v>
      </c>
    </row>
    <row r="6" customFormat="false" ht="12.75" hidden="false" customHeight="false" outlineLevel="0" collapsed="false">
      <c r="B6" s="8" t="s">
        <v>6</v>
      </c>
      <c r="D6" s="9" t="s">
        <v>7</v>
      </c>
    </row>
    <row r="7" customFormat="false" ht="12.75" hidden="false" customHeight="false" outlineLevel="0" collapsed="false">
      <c r="B7" s="8" t="s">
        <v>8</v>
      </c>
      <c r="D7" s="9" t="s">
        <v>9</v>
      </c>
    </row>
    <row r="8" customFormat="false" ht="12.75" hidden="false" customHeight="false" outlineLevel="0" collapsed="false">
      <c r="B8" s="8" t="s">
        <v>10</v>
      </c>
      <c r="D8" s="9" t="s">
        <v>11</v>
      </c>
    </row>
    <row r="9" customFormat="false" ht="12.75" hidden="false" customHeight="false" outlineLevel="0" collapsed="false">
      <c r="B9" s="8" t="s">
        <v>12</v>
      </c>
      <c r="D9" s="9" t="s">
        <v>13</v>
      </c>
    </row>
    <row r="10" customFormat="false" ht="12.75" hidden="false" customHeight="false" outlineLevel="0" collapsed="false">
      <c r="B10" s="8" t="s">
        <v>14</v>
      </c>
      <c r="D10" s="9" t="s">
        <v>15</v>
      </c>
    </row>
    <row r="12" customFormat="false" ht="12.75" hidden="false" customHeight="false" outlineLevel="0" collapsed="false">
      <c r="B12" s="1" t="s">
        <v>16</v>
      </c>
      <c r="D12" s="0" t="s">
        <v>17</v>
      </c>
    </row>
    <row r="14" customFormat="false" ht="12.75" hidden="false" customHeight="false" outlineLevel="0" collapsed="false">
      <c r="B14" s="8" t="s">
        <v>18</v>
      </c>
      <c r="D14" s="9" t="s">
        <v>19</v>
      </c>
    </row>
    <row r="16" customFormat="false" ht="12.75" hidden="false" customHeight="false" outlineLevel="0" collapsed="false">
      <c r="B16" s="1" t="s">
        <v>20</v>
      </c>
      <c r="D16" s="9" t="s">
        <v>21</v>
      </c>
    </row>
    <row r="17" customFormat="false" ht="12.75" hidden="false" customHeight="false" outlineLevel="0" collapsed="false">
      <c r="B17" s="1" t="s">
        <v>22</v>
      </c>
      <c r="D17" s="9" t="s">
        <v>23</v>
      </c>
    </row>
    <row r="18" customFormat="false" ht="12.75" hidden="false" customHeight="false" outlineLevel="0" collapsed="false">
      <c r="B18" s="1" t="s">
        <v>24</v>
      </c>
      <c r="D18" s="9" t="s">
        <v>25</v>
      </c>
    </row>
    <row r="20" customFormat="false" ht="12.75" hidden="false" customHeight="false" outlineLevel="0" collapsed="false">
      <c r="B20" s="1" t="s">
        <v>26</v>
      </c>
      <c r="D20" s="9" t="s">
        <v>27</v>
      </c>
    </row>
    <row r="22" customFormat="false" ht="12.75" hidden="false" customHeight="false" outlineLevel="0" collapsed="false">
      <c r="B22" s="8" t="s">
        <v>28</v>
      </c>
      <c r="D22" s="9" t="s">
        <v>29</v>
      </c>
    </row>
    <row r="23" customFormat="false" ht="12.75" hidden="false" customHeight="false" outlineLevel="0" collapsed="false">
      <c r="B23" s="1" t="s">
        <v>30</v>
      </c>
      <c r="D23" s="9" t="s">
        <v>31</v>
      </c>
    </row>
    <row r="25" customFormat="false" ht="12.75" hidden="false" customHeight="false" outlineLevel="0" collapsed="false">
      <c r="B25" s="1" t="s">
        <v>32</v>
      </c>
      <c r="D25" s="9" t="s">
        <v>33</v>
      </c>
    </row>
  </sheetData>
  <mergeCells count="3">
    <mergeCell ref="A1:G1"/>
    <mergeCell ref="A3:G3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E8" activeCellId="0" sqref="E8"/>
    </sheetView>
  </sheetViews>
  <sheetFormatPr defaultColWidth="9.0546875" defaultRowHeight="15" customHeight="false" zeroHeight="false" outlineLevelRow="0" outlineLevelCol="0"/>
  <cols>
    <col collapsed="false" customWidth="true" hidden="false" outlineLevel="0" max="1" min="1" style="10" width="31.14"/>
    <col collapsed="false" customWidth="true" hidden="false" outlineLevel="0" max="2" min="2" style="11" width="17.7"/>
  </cols>
  <sheetData>
    <row r="1" customFormat="false" ht="15.75" hidden="false" customHeight="false" outlineLevel="0" collapsed="false">
      <c r="A1" s="12" t="s">
        <v>34</v>
      </c>
      <c r="B1" s="12"/>
    </row>
    <row r="5" customFormat="false" ht="15.75" hidden="false" customHeight="false" outlineLevel="0" collapsed="false">
      <c r="A5" s="13" t="s">
        <v>35</v>
      </c>
      <c r="B5" s="14" t="n">
        <v>4.93</v>
      </c>
    </row>
    <row r="6" customFormat="false" ht="15.75" hidden="false" customHeight="false" outlineLevel="0" collapsed="false">
      <c r="A6" s="13" t="s">
        <v>36</v>
      </c>
      <c r="B6" s="14" t="n">
        <v>1</v>
      </c>
    </row>
    <row r="7" customFormat="false" ht="15.75" hidden="false" customHeight="false" outlineLevel="0" collapsed="false">
      <c r="A7" s="13" t="s">
        <v>37</v>
      </c>
      <c r="B7" s="14" t="n">
        <v>19</v>
      </c>
    </row>
    <row r="8" customFormat="false" ht="15.75" hidden="false" customHeight="false" outlineLevel="0" collapsed="false">
      <c r="A8" s="15" t="s">
        <v>38</v>
      </c>
      <c r="B8" s="16" t="n">
        <f aca="false">SQRT((B5*B6)/((B5*B6)+B7))</f>
        <v>0.453891563251592</v>
      </c>
    </row>
    <row r="10" customFormat="false" ht="15.75" hidden="false" customHeight="false" outlineLevel="0" collapsed="false">
      <c r="A10" s="13" t="s">
        <v>39</v>
      </c>
      <c r="B10" s="13" t="n">
        <v>2.22</v>
      </c>
    </row>
    <row r="11" customFormat="false" ht="15.75" hidden="false" customHeight="false" outlineLevel="0" collapsed="false">
      <c r="A11" s="13" t="s">
        <v>37</v>
      </c>
      <c r="B11" s="13" t="n">
        <v>19</v>
      </c>
    </row>
    <row r="12" customFormat="false" ht="15.75" hidden="false" customHeight="false" outlineLevel="0" collapsed="false">
      <c r="A12" s="15" t="s">
        <v>38</v>
      </c>
      <c r="B12" s="16" t="n">
        <f aca="false">SQRT((B10*B10)/((B10*B10)+B11))</f>
        <v>0.453833075745821</v>
      </c>
    </row>
    <row r="13" customFormat="false" ht="15" hidden="false" customHeight="false" outlineLevel="0" collapsed="false">
      <c r="A13" s="17"/>
    </row>
    <row r="14" customFormat="false" ht="15.75" hidden="false" customHeight="false" outlineLevel="0" collapsed="false">
      <c r="A14" s="13" t="s">
        <v>40</v>
      </c>
      <c r="B14" s="14" t="n">
        <v>0.97</v>
      </c>
    </row>
    <row r="15" customFormat="false" ht="15.75" hidden="false" customHeight="false" outlineLevel="0" collapsed="false">
      <c r="A15" s="15" t="s">
        <v>38</v>
      </c>
      <c r="B15" s="18" t="n">
        <f aca="false">SQRT((B14*B14)/(4+(B14*B14)))</f>
        <v>0.436383882787984</v>
      </c>
    </row>
    <row r="16" customFormat="false" ht="15" hidden="false" customHeight="false" outlineLevel="0" collapsed="false">
      <c r="A16" s="17"/>
    </row>
    <row r="17" customFormat="false" ht="15.75" hidden="false" customHeight="false" outlineLevel="0" collapsed="false">
      <c r="A17" s="6"/>
      <c r="B17" s="14"/>
      <c r="C17" s="7"/>
      <c r="D17" s="7"/>
    </row>
    <row r="18" customFormat="false" ht="15.75" hidden="false" customHeight="false" outlineLevel="0" collapsed="false">
      <c r="A18" s="13"/>
      <c r="B18" s="13"/>
      <c r="C18" s="7"/>
      <c r="D18" s="7"/>
    </row>
    <row r="19" customFormat="false" ht="15.75" hidden="false" customHeight="false" outlineLevel="0" collapsed="false">
      <c r="A19" s="13"/>
      <c r="B19" s="19"/>
      <c r="C19" s="7"/>
      <c r="D19" s="7"/>
      <c r="G19" s="0" t="n">
        <f aca="false">C18-D18</f>
        <v>0</v>
      </c>
      <c r="H19" s="9" t="s">
        <v>41</v>
      </c>
    </row>
    <row r="20" customFormat="false" ht="15.75" hidden="false" customHeight="false" outlineLevel="0" collapsed="false">
      <c r="A20" s="13"/>
      <c r="B20" s="19"/>
      <c r="C20" s="7"/>
      <c r="D20" s="7"/>
      <c r="G20" s="0" t="n">
        <f aca="false">((C19*C19)*(C20-1))+((D19*D19)*(D20-1))</f>
        <v>-0</v>
      </c>
      <c r="H20" s="9" t="s">
        <v>42</v>
      </c>
    </row>
    <row r="21" customFormat="false" ht="15.75" hidden="false" customHeight="false" outlineLevel="0" collapsed="false">
      <c r="A21" s="13"/>
      <c r="B21" s="13"/>
      <c r="C21" s="7"/>
      <c r="D21" s="7"/>
      <c r="G21" s="0" t="n">
        <f aca="false">C20+D20-2</f>
        <v>-2</v>
      </c>
      <c r="H21" s="9" t="s">
        <v>43</v>
      </c>
    </row>
    <row r="22" customFormat="false" ht="15.75" hidden="false" customHeight="false" outlineLevel="0" collapsed="false">
      <c r="A22" s="13"/>
      <c r="B22" s="15"/>
      <c r="C22" s="7"/>
      <c r="D22" s="7"/>
      <c r="G22" s="9" t="n">
        <f aca="false">SQRT(G20/G21)</f>
        <v>0</v>
      </c>
      <c r="H22" s="9" t="s">
        <v>44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C26" activeCellId="0" sqref="C26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22.7"/>
    <col collapsed="false" customWidth="true" hidden="false" outlineLevel="0" max="2" min="2" style="0" width="13.41"/>
    <col collapsed="false" customWidth="true" hidden="false" outlineLevel="0" max="4" min="4" style="0" width="9.7"/>
  </cols>
  <sheetData>
    <row r="1" customFormat="false" ht="15.75" hidden="false" customHeight="false" outlineLevel="0" collapsed="false">
      <c r="A1" s="12" t="s">
        <v>45</v>
      </c>
      <c r="B1" s="12"/>
      <c r="C1" s="12"/>
      <c r="D1" s="12"/>
    </row>
    <row r="4" customFormat="false" ht="15.75" hidden="false" customHeight="false" outlineLevel="0" collapsed="false">
      <c r="A4" s="13" t="s">
        <v>35</v>
      </c>
      <c r="B4" s="14" t="n">
        <v>4.93</v>
      </c>
    </row>
    <row r="5" customFormat="false" ht="15.75" hidden="false" customHeight="false" outlineLevel="0" collapsed="false">
      <c r="A5" s="13" t="s">
        <v>46</v>
      </c>
      <c r="B5" s="14" t="n">
        <v>10</v>
      </c>
    </row>
    <row r="6" customFormat="false" ht="15.75" hidden="false" customHeight="false" outlineLevel="0" collapsed="false">
      <c r="A6" s="13" t="s">
        <v>47</v>
      </c>
      <c r="B6" s="14" t="n">
        <v>11</v>
      </c>
    </row>
    <row r="7" customFormat="false" ht="15.75" hidden="false" customHeight="false" outlineLevel="0" collapsed="false">
      <c r="A7" s="15" t="s">
        <v>48</v>
      </c>
      <c r="B7" s="16" t="n">
        <f aca="false">SQRT((B4*(B5+B6))/(B5*B6))</f>
        <v>0.970145256228065</v>
      </c>
    </row>
    <row r="8" customFormat="false" ht="15.75" hidden="false" customHeight="false" outlineLevel="0" collapsed="false">
      <c r="A8" s="15"/>
      <c r="B8" s="16"/>
    </row>
    <row r="10" customFormat="false" ht="15.75" hidden="false" customHeight="false" outlineLevel="0" collapsed="false">
      <c r="A10" s="13" t="s">
        <v>39</v>
      </c>
      <c r="B10" s="14" t="n">
        <v>2.22</v>
      </c>
    </row>
    <row r="11" customFormat="false" ht="15.75" hidden="false" customHeight="false" outlineLevel="0" collapsed="false">
      <c r="A11" s="13" t="s">
        <v>46</v>
      </c>
      <c r="B11" s="14" t="n">
        <v>10</v>
      </c>
    </row>
    <row r="12" customFormat="false" ht="15.75" hidden="false" customHeight="false" outlineLevel="0" collapsed="false">
      <c r="A12" s="13" t="s">
        <v>47</v>
      </c>
      <c r="B12" s="14" t="n">
        <v>11</v>
      </c>
    </row>
    <row r="13" customFormat="false" ht="15.75" hidden="false" customHeight="false" outlineLevel="0" collapsed="false">
      <c r="A13" s="15" t="s">
        <v>48</v>
      </c>
      <c r="B13" s="16" t="n">
        <f aca="false">B10*SQRT(((B11+B12))/(B11*B12))</f>
        <v>0.969987816230886</v>
      </c>
      <c r="D13" s="9" t="s">
        <v>49</v>
      </c>
    </row>
    <row r="14" customFormat="false" ht="15.75" hidden="false" customHeight="false" outlineLevel="0" collapsed="false">
      <c r="A14" s="15"/>
      <c r="B14" s="16"/>
      <c r="D14" s="9"/>
    </row>
    <row r="16" customFormat="false" ht="15.75" hidden="false" customHeight="false" outlineLevel="0" collapsed="false">
      <c r="A16" s="13"/>
      <c r="B16" s="14"/>
      <c r="C16" s="19" t="s">
        <v>50</v>
      </c>
      <c r="D16" s="19" t="s">
        <v>51</v>
      </c>
      <c r="G16" s="0" t="n">
        <f aca="false">C17-D17</f>
        <v>-1.78</v>
      </c>
      <c r="H16" s="9" t="s">
        <v>41</v>
      </c>
    </row>
    <row r="17" customFormat="false" ht="15.75" hidden="false" customHeight="false" outlineLevel="0" collapsed="false">
      <c r="A17" s="13" t="s">
        <v>52</v>
      </c>
      <c r="B17" s="13" t="s">
        <v>53</v>
      </c>
      <c r="C17" s="14" t="n">
        <v>5.4</v>
      </c>
      <c r="D17" s="14" t="n">
        <v>7.18</v>
      </c>
      <c r="G17" s="0" t="n">
        <f aca="false">((C18*C18)*(C19-1))+((D18*D18)*(D19-1))</f>
        <v>63.9529</v>
      </c>
      <c r="H17" s="9" t="s">
        <v>42</v>
      </c>
    </row>
    <row r="18" customFormat="false" ht="15.75" hidden="false" customHeight="false" outlineLevel="0" collapsed="false">
      <c r="A18" s="13"/>
      <c r="B18" s="13" t="s">
        <v>54</v>
      </c>
      <c r="C18" s="14" t="n">
        <v>1.71</v>
      </c>
      <c r="D18" s="14" t="n">
        <v>1.94</v>
      </c>
      <c r="G18" s="0" t="n">
        <f aca="false">C19+D19-2</f>
        <v>19</v>
      </c>
      <c r="H18" s="9" t="s">
        <v>43</v>
      </c>
    </row>
    <row r="19" customFormat="false" ht="15.75" hidden="false" customHeight="false" outlineLevel="0" collapsed="false">
      <c r="A19" s="13"/>
      <c r="B19" s="13" t="s">
        <v>55</v>
      </c>
      <c r="C19" s="14" t="n">
        <v>10</v>
      </c>
      <c r="D19" s="14" t="n">
        <v>11</v>
      </c>
      <c r="G19" s="9" t="n">
        <f aca="false">SQRT(G17/G18)</f>
        <v>1.83465040409969</v>
      </c>
      <c r="H19" s="9" t="s">
        <v>44</v>
      </c>
    </row>
    <row r="20" customFormat="false" ht="15.75" hidden="false" customHeight="false" outlineLevel="0" collapsed="false">
      <c r="A20" s="13"/>
      <c r="B20" s="15" t="s">
        <v>56</v>
      </c>
      <c r="C20" s="18" t="n">
        <f aca="false">ABS(G16/G19)</f>
        <v>0.970212088375219</v>
      </c>
      <c r="D20" s="7"/>
    </row>
    <row r="21" customFormat="false" ht="15.75" hidden="false" customHeight="false" outlineLevel="0" collapsed="false">
      <c r="A21" s="13"/>
      <c r="B21" s="15"/>
      <c r="C21" s="7"/>
      <c r="D21" s="7"/>
    </row>
    <row r="22" customFormat="false" ht="15.75" hidden="false" customHeight="false" outlineLevel="0" collapsed="false">
      <c r="A22" s="13"/>
      <c r="B22" s="14"/>
      <c r="C22" s="19" t="s">
        <v>50</v>
      </c>
      <c r="D22" s="19" t="s">
        <v>51</v>
      </c>
    </row>
    <row r="23" customFormat="false" ht="15.75" hidden="false" customHeight="false" outlineLevel="0" collapsed="false">
      <c r="A23" s="13" t="s">
        <v>52</v>
      </c>
      <c r="B23" s="13" t="s">
        <v>53</v>
      </c>
      <c r="C23" s="14" t="n">
        <v>3.8</v>
      </c>
      <c r="D23" s="14" t="n">
        <v>6.4</v>
      </c>
    </row>
    <row r="25" customFormat="false" ht="15.75" hidden="false" customHeight="false" outlineLevel="0" collapsed="false">
      <c r="B25" s="13" t="s">
        <v>57</v>
      </c>
      <c r="C25" s="14" t="n">
        <v>2.27</v>
      </c>
    </row>
    <row r="26" customFormat="false" ht="15.75" hidden="false" customHeight="false" outlineLevel="0" collapsed="false">
      <c r="B26" s="15" t="s">
        <v>56</v>
      </c>
      <c r="C26" s="18" t="n">
        <f aca="false">ABS((C17-D17)/SQRT(C25))</f>
        <v>1.18142749464795</v>
      </c>
    </row>
    <row r="29" customFormat="false" ht="15.75" hidden="false" customHeight="false" outlineLevel="0" collapsed="false">
      <c r="A29" s="13" t="s">
        <v>58</v>
      </c>
      <c r="B29" s="14" t="n">
        <v>0.45</v>
      </c>
    </row>
    <row r="30" customFormat="false" ht="15.75" hidden="false" customHeight="false" outlineLevel="0" collapsed="false">
      <c r="A30" s="15" t="s">
        <v>48</v>
      </c>
      <c r="B30" s="18" t="n">
        <f aca="false">(2*B29)/(1-(B29*B29))</f>
        <v>1.12852664576803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9.0546875" defaultRowHeight="15.75" customHeight="false" zeroHeight="false" outlineLevelRow="0" outlineLevelCol="0"/>
  <cols>
    <col collapsed="false" customWidth="true" hidden="false" outlineLevel="0" max="1" min="1" style="15" width="39.99"/>
    <col collapsed="false" customWidth="true" hidden="false" outlineLevel="0" max="2" min="2" style="0" width="15.41"/>
  </cols>
  <sheetData>
    <row r="1" customFormat="false" ht="13.5" hidden="false" customHeight="true" outlineLevel="0" collapsed="false">
      <c r="A1" s="20" t="s">
        <v>59</v>
      </c>
      <c r="B1" s="20"/>
      <c r="F1" s="8" t="s">
        <v>60</v>
      </c>
    </row>
    <row r="2" customFormat="false" ht="15.75" hidden="false" customHeight="false" outlineLevel="0" collapsed="false">
      <c r="F2" s="8"/>
    </row>
    <row r="3" customFormat="false" ht="15.75" hidden="false" customHeight="false" outlineLevel="0" collapsed="false">
      <c r="F3" s="8" t="s">
        <v>61</v>
      </c>
    </row>
    <row r="4" customFormat="false" ht="15.75" hidden="false" customHeight="false" outlineLevel="0" collapsed="false">
      <c r="F4" s="8" t="s">
        <v>62</v>
      </c>
    </row>
    <row r="5" customFormat="false" ht="15.75" hidden="false" customHeight="false" outlineLevel="0" collapsed="false">
      <c r="A5" s="13" t="s">
        <v>63</v>
      </c>
      <c r="B5" s="21" t="s">
        <v>61</v>
      </c>
      <c r="F5" s="1" t="s">
        <v>64</v>
      </c>
      <c r="G5" s="0" t="n">
        <f aca="false">(B6-B7)/SQRT(B8)</f>
        <v>-0.969954025101608</v>
      </c>
    </row>
    <row r="6" customFormat="false" ht="15.75" hidden="false" customHeight="false" outlineLevel="0" collapsed="false">
      <c r="A6" s="13" t="s">
        <v>65</v>
      </c>
      <c r="B6" s="14" t="n">
        <v>5.4</v>
      </c>
      <c r="F6" s="1" t="s">
        <v>66</v>
      </c>
      <c r="G6" s="0" t="n">
        <f aca="false">G5*G5</f>
        <v>0.94081081081081</v>
      </c>
    </row>
    <row r="7" customFormat="false" ht="15.75" hidden="false" customHeight="false" outlineLevel="0" collapsed="false">
      <c r="A7" s="13" t="s">
        <v>67</v>
      </c>
      <c r="B7" s="14" t="n">
        <v>7.17</v>
      </c>
      <c r="F7" s="1" t="s">
        <v>68</v>
      </c>
      <c r="G7" s="0" t="n">
        <f aca="false">G5*SQRT(2)</f>
        <v>-1.37172213717707</v>
      </c>
    </row>
    <row r="8" customFormat="false" ht="15.75" hidden="false" customHeight="false" outlineLevel="0" collapsed="false">
      <c r="A8" s="13" t="s">
        <v>69</v>
      </c>
      <c r="B8" s="14" t="n">
        <v>3.33</v>
      </c>
      <c r="F8" s="1" t="s">
        <v>70</v>
      </c>
      <c r="G8" s="0" t="n">
        <f aca="false">G7*G7</f>
        <v>1.88162162162162</v>
      </c>
    </row>
    <row r="9" customFormat="false" ht="15.75" hidden="false" customHeight="false" outlineLevel="0" collapsed="false">
      <c r="F9" s="8" t="s">
        <v>71</v>
      </c>
      <c r="G9" s="22" t="n">
        <f aca="false">SQRT(G6/(G6+4))</f>
        <v>0.436367138080975</v>
      </c>
    </row>
    <row r="10" customFormat="false" ht="15.75" hidden="false" customHeight="false" outlineLevel="0" collapsed="false">
      <c r="A10" s="15" t="s">
        <v>72</v>
      </c>
      <c r="B10" s="18" t="n">
        <f aca="false">IF(B5="Between Groups",G9,IF(B5="Within-Groups",G10))</f>
        <v>0.436367138080975</v>
      </c>
      <c r="F10" s="8" t="s">
        <v>73</v>
      </c>
      <c r="G10" s="23" t="n">
        <f aca="false">SQRT(G8/(G8+4))</f>
        <v>0.565610686734</v>
      </c>
    </row>
    <row r="11" customFormat="false" ht="15.75" hidden="false" customHeight="false" outlineLevel="0" collapsed="false">
      <c r="A11" s="15" t="s">
        <v>74</v>
      </c>
      <c r="B11" s="18" t="n">
        <f aca="false">ABS((B6-B7)/SQRT(B8))</f>
        <v>0.969954025101608</v>
      </c>
    </row>
    <row r="13" customFormat="false" ht="15.75" hidden="false" customHeight="false" outlineLevel="0" collapsed="false">
      <c r="A13" s="13"/>
      <c r="B13" s="14"/>
      <c r="C13" s="14"/>
      <c r="D13" s="14"/>
    </row>
    <row r="14" customFormat="false" ht="15" hidden="false" customHeight="false" outlineLevel="0" collapsed="false">
      <c r="A14" s="24" t="s">
        <v>75</v>
      </c>
      <c r="B14" s="25" t="n">
        <v>5.4</v>
      </c>
      <c r="F14" s="0" t="n">
        <f aca="false">(B14*B14*B15)+(B16*B16*B17)</f>
        <v>857.0979</v>
      </c>
    </row>
    <row r="15" customFormat="false" ht="15" hidden="false" customHeight="false" outlineLevel="0" collapsed="false">
      <c r="A15" s="24" t="s">
        <v>76</v>
      </c>
      <c r="B15" s="25" t="n">
        <v>10</v>
      </c>
      <c r="F15" s="0" t="n">
        <f aca="false">((B14*B15)+(B16*B17))^2</f>
        <v>17654.4369</v>
      </c>
    </row>
    <row r="16" customFormat="false" ht="15" hidden="false" customHeight="false" outlineLevel="0" collapsed="false">
      <c r="A16" s="24" t="s">
        <v>77</v>
      </c>
      <c r="B16" s="25" t="n">
        <v>7.17</v>
      </c>
      <c r="F16" s="0" t="n">
        <f aca="false">B15+B17</f>
        <v>21</v>
      </c>
      <c r="G16" s="9" t="s">
        <v>78</v>
      </c>
    </row>
    <row r="17" customFormat="false" ht="15" hidden="false" customHeight="false" outlineLevel="0" collapsed="false">
      <c r="A17" s="24" t="s">
        <v>79</v>
      </c>
      <c r="B17" s="25" t="n">
        <v>11</v>
      </c>
      <c r="F17" s="0" t="n">
        <f aca="false">F14-(F15/F16)</f>
        <v>16.4104285714285</v>
      </c>
      <c r="G17" s="9" t="s">
        <v>80</v>
      </c>
    </row>
    <row r="18" customFormat="false" ht="15" hidden="false" customHeight="false" outlineLevel="0" collapsed="false">
      <c r="A18" s="24" t="s">
        <v>81</v>
      </c>
      <c r="B18" s="25" t="n">
        <v>4.93</v>
      </c>
    </row>
    <row r="19" customFormat="false" ht="12.75" hidden="false" customHeight="false" outlineLevel="0" collapsed="false">
      <c r="A19" s="1"/>
    </row>
    <row r="20" customFormat="false" ht="15.75" hidden="false" customHeight="false" outlineLevel="0" collapsed="false">
      <c r="A20" s="15" t="s">
        <v>82</v>
      </c>
      <c r="B20" s="18" t="n">
        <f aca="false">F17/B18</f>
        <v>3.32868733700375</v>
      </c>
    </row>
    <row r="21" customFormat="false" ht="12.75" hidden="false" customHeight="false" outlineLevel="0" collapsed="false">
      <c r="A21" s="0"/>
    </row>
  </sheetData>
  <mergeCells count="1">
    <mergeCell ref="A1:B1"/>
  </mergeCells>
  <dataValidations count="1">
    <dataValidation allowBlank="false" errorStyle="stop" operator="between" showDropDown="false" showErrorMessage="true" showInputMessage="false" sqref="B5" type="list">
      <formula1>$F$3:$F$4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32.56"/>
  </cols>
  <sheetData>
    <row r="1" customFormat="false" ht="15.75" hidden="false" customHeight="false" outlineLevel="0" collapsed="false">
      <c r="A1" s="12" t="s">
        <v>83</v>
      </c>
      <c r="B1" s="12"/>
    </row>
    <row r="2" customFormat="false" ht="15.75" hidden="false" customHeight="false" outlineLevel="0" collapsed="false">
      <c r="A2" s="26"/>
    </row>
    <row r="3" customFormat="false" ht="15.75" hidden="false" customHeight="false" outlineLevel="0" collapsed="false">
      <c r="A3" s="26"/>
    </row>
    <row r="5" customFormat="false" ht="15.75" hidden="false" customHeight="false" outlineLevel="0" collapsed="false">
      <c r="A5" s="13" t="s">
        <v>84</v>
      </c>
      <c r="B5" s="27" t="n">
        <v>4.85</v>
      </c>
    </row>
    <row r="6" customFormat="false" ht="15.75" hidden="false" customHeight="false" outlineLevel="0" collapsed="false">
      <c r="A6" s="13" t="s">
        <v>85</v>
      </c>
      <c r="B6" s="14" t="n">
        <v>1</v>
      </c>
    </row>
    <row r="7" customFormat="false" ht="15.75" hidden="false" customHeight="false" outlineLevel="0" collapsed="false">
      <c r="A7" s="13" t="s">
        <v>86</v>
      </c>
      <c r="B7" s="14" t="n">
        <v>80</v>
      </c>
    </row>
    <row r="10" customFormat="false" ht="15.75" hidden="false" customHeight="false" outlineLevel="0" collapsed="false">
      <c r="A10" s="15" t="s">
        <v>72</v>
      </c>
      <c r="B10" s="18" t="n">
        <f aca="false">IF(B6=1,SQRT(B5/B7),IF(B6&gt;1,SQRT(B5/(B5+B7))))</f>
        <v>0.246221445044903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2.14"/>
    <col collapsed="false" customWidth="true" hidden="false" outlineLevel="0" max="2" min="2" style="0" width="16.99"/>
    <col collapsed="false" customWidth="true" hidden="false" outlineLevel="0" max="3" min="3" style="0" width="11.99"/>
    <col collapsed="false" customWidth="true" hidden="false" outlineLevel="0" max="4" min="4" style="0" width="11.85"/>
    <col collapsed="false" customWidth="true" hidden="false" outlineLevel="0" max="5" min="5" style="0" width="13.41"/>
  </cols>
  <sheetData>
    <row r="1" customFormat="false" ht="15.75" hidden="false" customHeight="false" outlineLevel="0" collapsed="false">
      <c r="A1" s="28" t="s">
        <v>87</v>
      </c>
      <c r="B1" s="28"/>
      <c r="C1" s="28"/>
      <c r="D1" s="28"/>
      <c r="E1" s="28"/>
      <c r="F1" s="28"/>
      <c r="G1" s="28"/>
    </row>
    <row r="2" customFormat="false" ht="13.5" hidden="false" customHeight="false" outlineLevel="0" collapsed="false"/>
    <row r="3" customFormat="false" ht="17.25" hidden="false" customHeight="true" outlineLevel="0" collapsed="false">
      <c r="A3" s="29" t="s">
        <v>88</v>
      </c>
      <c r="B3" s="29"/>
      <c r="C3" s="30" t="n">
        <v>45</v>
      </c>
      <c r="D3" s="30" t="n">
        <v>40</v>
      </c>
    </row>
    <row r="4" customFormat="false" ht="17.25" hidden="false" customHeight="false" outlineLevel="0" collapsed="false">
      <c r="A4" s="29"/>
      <c r="B4" s="29"/>
      <c r="C4" s="30" t="n">
        <v>15</v>
      </c>
      <c r="D4" s="30" t="n">
        <v>10</v>
      </c>
    </row>
    <row r="5" customFormat="false" ht="13.5" hidden="false" customHeight="false" outlineLevel="0" collapsed="false"/>
    <row r="7" customFormat="false" ht="15.75" hidden="false" customHeight="false" outlineLevel="0" collapsed="false">
      <c r="B7" s="31" t="s">
        <v>89</v>
      </c>
      <c r="C7" s="31"/>
      <c r="D7" s="18" t="n">
        <f aca="false">(B35*B36*B36)/((C3+C4)*(D3+D4)*(C3+D3)*(C4+D4))</f>
        <v>0.388235294117647</v>
      </c>
    </row>
    <row r="8" customFormat="false" ht="15" hidden="false" customHeight="false" outlineLevel="0" collapsed="false">
      <c r="C8" s="32" t="s">
        <v>90</v>
      </c>
      <c r="D8" s="33" t="n">
        <f aca="false">CHIDIST(D7,1)</f>
        <v>0.533228467552479</v>
      </c>
    </row>
    <row r="9" customFormat="false" ht="15.75" hidden="false" customHeight="false" outlineLevel="0" collapsed="false">
      <c r="C9" s="15" t="s">
        <v>72</v>
      </c>
      <c r="D9" s="18" t="n">
        <f aca="false">SQRT(D7/B35)</f>
        <v>0.0594088525786005</v>
      </c>
    </row>
    <row r="12" customFormat="false" ht="27.75" hidden="false" customHeight="true" outlineLevel="0" collapsed="false">
      <c r="A12" s="34" t="s">
        <v>91</v>
      </c>
      <c r="B12" s="34"/>
      <c r="C12" s="34"/>
    </row>
    <row r="13" customFormat="false" ht="30.75" hidden="false" customHeight="true" outlineLevel="0" collapsed="false">
      <c r="A13" s="35" t="s">
        <v>92</v>
      </c>
      <c r="B13" s="35" t="s">
        <v>93</v>
      </c>
      <c r="C13" s="35" t="s">
        <v>94</v>
      </c>
    </row>
    <row r="14" customFormat="false" ht="12.75" hidden="false" customHeight="false" outlineLevel="0" collapsed="false">
      <c r="A14" s="0" t="n">
        <v>2</v>
      </c>
      <c r="B14" s="0" t="n">
        <v>1</v>
      </c>
      <c r="C14" s="0" t="n">
        <v>0.05</v>
      </c>
    </row>
    <row r="15" customFormat="false" ht="12.75" hidden="false" customHeight="false" outlineLevel="0" collapsed="false">
      <c r="A15" s="9" t="s">
        <v>49</v>
      </c>
      <c r="B15" s="0" t="n">
        <v>2</v>
      </c>
      <c r="C15" s="0" t="n">
        <v>0.025</v>
      </c>
    </row>
    <row r="16" customFormat="false" ht="12.75" hidden="false" customHeight="false" outlineLevel="0" collapsed="false">
      <c r="A16" s="0" t="n">
        <v>3</v>
      </c>
      <c r="B16" s="0" t="n">
        <v>3</v>
      </c>
      <c r="C16" s="0" t="n">
        <v>0.0167</v>
      </c>
    </row>
    <row r="17" customFormat="false" ht="12.75" hidden="false" customHeight="false" outlineLevel="0" collapsed="false">
      <c r="A17" s="9" t="s">
        <v>49</v>
      </c>
      <c r="B17" s="0" t="n">
        <v>4</v>
      </c>
      <c r="C17" s="0" t="n">
        <v>0.0125</v>
      </c>
    </row>
    <row r="18" customFormat="false" ht="12.75" hidden="false" customHeight="false" outlineLevel="0" collapsed="false">
      <c r="A18" s="9" t="s">
        <v>49</v>
      </c>
      <c r="B18" s="0" t="n">
        <v>5</v>
      </c>
      <c r="C18" s="0" t="n">
        <v>0.01</v>
      </c>
    </row>
    <row r="19" customFormat="false" ht="12.75" hidden="false" customHeight="false" outlineLevel="0" collapsed="false">
      <c r="A19" s="0" t="n">
        <v>4</v>
      </c>
      <c r="B19" s="0" t="n">
        <v>6</v>
      </c>
      <c r="C19" s="0" t="n">
        <v>0.0083</v>
      </c>
    </row>
    <row r="20" customFormat="false" ht="12.75" hidden="false" customHeight="false" outlineLevel="0" collapsed="false">
      <c r="A20" s="0" t="n">
        <v>5</v>
      </c>
      <c r="B20" s="0" t="n">
        <v>10</v>
      </c>
      <c r="C20" s="0" t="n">
        <v>0.005</v>
      </c>
    </row>
    <row r="21" customFormat="false" ht="12.75" hidden="false" customHeight="false" outlineLevel="0" collapsed="false">
      <c r="A21" s="0" t="n">
        <v>6</v>
      </c>
      <c r="B21" s="0" t="n">
        <v>15</v>
      </c>
      <c r="C21" s="0" t="n">
        <v>0.0033</v>
      </c>
    </row>
    <row r="30" customFormat="false" ht="12.75" hidden="false" customHeight="false" outlineLevel="0" collapsed="false">
      <c r="A30" s="36" t="s">
        <v>95</v>
      </c>
      <c r="B30" s="36"/>
    </row>
    <row r="31" customFormat="false" ht="12.75" hidden="false" customHeight="false" outlineLevel="0" collapsed="false">
      <c r="A31" s="0" t="s">
        <v>96</v>
      </c>
      <c r="B31" s="0" t="n">
        <f aca="false">C3</f>
        <v>45</v>
      </c>
    </row>
    <row r="32" customFormat="false" ht="12.75" hidden="false" customHeight="false" outlineLevel="0" collapsed="false">
      <c r="A32" s="0" t="s">
        <v>97</v>
      </c>
      <c r="B32" s="0" t="n">
        <f aca="false">D3</f>
        <v>40</v>
      </c>
    </row>
    <row r="33" customFormat="false" ht="12.75" hidden="false" customHeight="false" outlineLevel="0" collapsed="false">
      <c r="A33" s="0" t="s">
        <v>98</v>
      </c>
      <c r="B33" s="0" t="n">
        <f aca="false">C4</f>
        <v>15</v>
      </c>
      <c r="C33" s="1"/>
    </row>
    <row r="34" customFormat="false" ht="12.75" hidden="false" customHeight="false" outlineLevel="0" collapsed="false">
      <c r="A34" s="0" t="s">
        <v>99</v>
      </c>
      <c r="B34" s="0" t="n">
        <f aca="false">D4</f>
        <v>10</v>
      </c>
    </row>
    <row r="35" customFormat="false" ht="12.75" hidden="false" customHeight="false" outlineLevel="0" collapsed="false">
      <c r="A35" s="0" t="s">
        <v>100</v>
      </c>
      <c r="B35" s="0" t="n">
        <f aca="false">C3+D3+C4+D4</f>
        <v>110</v>
      </c>
    </row>
    <row r="36" customFormat="false" ht="12.75" hidden="false" customHeight="false" outlineLevel="0" collapsed="false">
      <c r="A36" s="0" t="s">
        <v>101</v>
      </c>
      <c r="B36" s="0" t="n">
        <f aca="false">(C3*D4)-(D3*C4)</f>
        <v>-150</v>
      </c>
    </row>
  </sheetData>
  <mergeCells count="5">
    <mergeCell ref="A1:G1"/>
    <mergeCell ref="A3:B4"/>
    <mergeCell ref="B7:C7"/>
    <mergeCell ref="A12:C12"/>
    <mergeCell ref="A30:B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5" min="5" style="0" width="11.28"/>
    <col collapsed="false" customWidth="true" hidden="false" outlineLevel="0" max="6" min="6" style="0" width="7.28"/>
    <col collapsed="false" customWidth="true" hidden="false" outlineLevel="0" max="7" min="7" style="0" width="11.99"/>
  </cols>
  <sheetData>
    <row r="1" customFormat="false" ht="15.75" hidden="false" customHeight="false" outlineLevel="0" collapsed="false">
      <c r="A1" s="12" t="s">
        <v>102</v>
      </c>
      <c r="B1" s="12"/>
      <c r="C1" s="12"/>
      <c r="D1" s="12"/>
    </row>
    <row r="3" customFormat="false" ht="13.5" hidden="false" customHeight="false" outlineLevel="0" collapsed="false"/>
    <row r="4" customFormat="false" ht="15.75" hidden="false" customHeight="true" outlineLevel="0" collapsed="false">
      <c r="B4" s="37" t="s">
        <v>103</v>
      </c>
      <c r="C4" s="37"/>
      <c r="D4" s="37"/>
      <c r="E4" s="38" t="n">
        <v>30</v>
      </c>
      <c r="G4" s="39" t="n">
        <v>33</v>
      </c>
      <c r="H4" s="40" t="s">
        <v>104</v>
      </c>
      <c r="I4" s="40"/>
      <c r="J4" s="40"/>
    </row>
    <row r="5" customFormat="false" ht="13.5" hidden="false" customHeight="false" outlineLevel="0" collapsed="false"/>
    <row r="7" customFormat="false" ht="15.75" hidden="false" customHeight="false" outlineLevel="0" collapsed="false">
      <c r="B7" s="31" t="s">
        <v>105</v>
      </c>
      <c r="C7" s="31"/>
      <c r="D7" s="31"/>
      <c r="E7" s="26" t="n">
        <f aca="false">E4-(1.5*(G4-E4))</f>
        <v>25.5</v>
      </c>
      <c r="G7" s="26" t="n">
        <f aca="false">G4+(1.5*(G4-E4))</f>
        <v>37.5</v>
      </c>
      <c r="H7" s="41" t="s">
        <v>106</v>
      </c>
      <c r="I7" s="41"/>
      <c r="J7" s="41"/>
    </row>
  </sheetData>
  <mergeCells count="5">
    <mergeCell ref="A1:D1"/>
    <mergeCell ref="B4:D4"/>
    <mergeCell ref="H4:J4"/>
    <mergeCell ref="B7:D7"/>
    <mergeCell ref="H7:J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42" width="42.28"/>
    <col collapsed="false" customWidth="true" hidden="false" outlineLevel="0" max="6" min="6" style="0" width="11.13"/>
    <col collapsed="false" customWidth="true" hidden="false" outlineLevel="0" max="10" min="7" style="0" width="8.28"/>
  </cols>
  <sheetData>
    <row r="1" customFormat="false" ht="15.75" hidden="false" customHeight="true" outlineLevel="0" collapsed="false">
      <c r="A1" s="20" t="s">
        <v>107</v>
      </c>
      <c r="B1" s="20"/>
      <c r="C1" s="11"/>
      <c r="D1" s="11"/>
      <c r="E1" s="11"/>
      <c r="F1" s="11"/>
      <c r="G1" s="43" t="s">
        <v>108</v>
      </c>
      <c r="H1" s="43"/>
      <c r="I1" s="43"/>
      <c r="J1" s="43"/>
    </row>
    <row r="2" customFormat="false" ht="15" hidden="false" customHeight="false" outlineLevel="0" collapsed="false">
      <c r="A2" s="44"/>
      <c r="B2" s="11"/>
      <c r="C2" s="11"/>
      <c r="D2" s="11"/>
      <c r="E2" s="11" t="s">
        <v>109</v>
      </c>
      <c r="F2" s="11" t="s">
        <v>110</v>
      </c>
      <c r="G2" s="11" t="s">
        <v>111</v>
      </c>
      <c r="H2" s="11" t="s">
        <v>112</v>
      </c>
      <c r="I2" s="11" t="s">
        <v>113</v>
      </c>
      <c r="J2" s="11" t="s">
        <v>114</v>
      </c>
    </row>
    <row r="3" customFormat="false" ht="15.75" hidden="false" customHeight="false" outlineLevel="0" collapsed="false">
      <c r="A3" s="45" t="s">
        <v>115</v>
      </c>
      <c r="B3" s="14" t="n">
        <v>3</v>
      </c>
      <c r="C3" s="11"/>
      <c r="D3" s="11"/>
      <c r="E3" s="11" t="n">
        <v>5</v>
      </c>
      <c r="F3" s="46" t="n">
        <v>2.57</v>
      </c>
      <c r="G3" s="46" t="n">
        <v>4.6</v>
      </c>
      <c r="H3" s="46" t="n">
        <v>5.22</v>
      </c>
      <c r="I3" s="46" t="n">
        <v>5.67</v>
      </c>
      <c r="J3" s="46" t="n">
        <v>6.03</v>
      </c>
    </row>
    <row r="4" customFormat="false" ht="27" hidden="false" customHeight="true" outlineLevel="0" collapsed="false">
      <c r="A4" s="45" t="s">
        <v>116</v>
      </c>
      <c r="B4" s="14" t="n">
        <v>21</v>
      </c>
      <c r="C4" s="11"/>
      <c r="D4" s="11"/>
      <c r="E4" s="11" t="n">
        <v>10</v>
      </c>
      <c r="F4" s="46" t="n">
        <v>2.23</v>
      </c>
      <c r="G4" s="46" t="n">
        <v>3.88</v>
      </c>
      <c r="H4" s="46" t="n">
        <v>4.33</v>
      </c>
      <c r="I4" s="46" t="n">
        <v>4.65</v>
      </c>
      <c r="J4" s="46" t="n">
        <v>4.91</v>
      </c>
    </row>
    <row r="5" customFormat="false" ht="16.5" hidden="false" customHeight="true" outlineLevel="0" collapsed="false">
      <c r="A5" s="45" t="s">
        <v>69</v>
      </c>
      <c r="B5" s="14" t="n">
        <v>5.55</v>
      </c>
      <c r="C5" s="11"/>
      <c r="D5" s="11"/>
      <c r="E5" s="11" t="n">
        <v>15</v>
      </c>
      <c r="F5" s="46" t="n">
        <v>2.13</v>
      </c>
      <c r="G5" s="46" t="n">
        <v>3.67</v>
      </c>
      <c r="H5" s="46" t="n">
        <v>4.08</v>
      </c>
      <c r="I5" s="46" t="n">
        <v>4.37</v>
      </c>
      <c r="J5" s="46" t="n">
        <v>4.59</v>
      </c>
    </row>
    <row r="6" customFormat="false" ht="27.75" hidden="false" customHeight="true" outlineLevel="0" collapsed="false">
      <c r="A6" s="45" t="s">
        <v>117</v>
      </c>
      <c r="B6" s="14" t="n">
        <v>60</v>
      </c>
      <c r="C6" s="11"/>
      <c r="D6" s="11"/>
      <c r="E6" s="11" t="n">
        <v>20</v>
      </c>
      <c r="F6" s="46" t="n">
        <v>2.09</v>
      </c>
      <c r="G6" s="46" t="n">
        <v>3.58</v>
      </c>
      <c r="H6" s="46" t="n">
        <v>3.96</v>
      </c>
      <c r="I6" s="46" t="n">
        <v>4.23</v>
      </c>
      <c r="J6" s="46" t="n">
        <v>4.45</v>
      </c>
    </row>
    <row r="7" customFormat="false" ht="15" hidden="false" customHeight="false" outlineLevel="0" collapsed="false">
      <c r="A7" s="44"/>
      <c r="B7" s="11"/>
      <c r="C7" s="11"/>
      <c r="D7" s="11"/>
      <c r="E7" s="11" t="n">
        <v>25</v>
      </c>
      <c r="F7" s="46" t="n">
        <v>2.06</v>
      </c>
      <c r="G7" s="46" t="n">
        <v>3.52</v>
      </c>
      <c r="H7" s="46" t="n">
        <v>3.89</v>
      </c>
      <c r="I7" s="46" t="n">
        <v>4.15</v>
      </c>
      <c r="J7" s="46" t="n">
        <v>4.36</v>
      </c>
    </row>
    <row r="8" customFormat="false" ht="15" hidden="false" customHeight="false" outlineLevel="0" collapsed="false">
      <c r="A8" s="44"/>
      <c r="B8" s="11"/>
      <c r="C8" s="11"/>
      <c r="D8" s="11"/>
      <c r="E8" s="11" t="n">
        <v>30</v>
      </c>
      <c r="F8" s="46" t="n">
        <v>2.04</v>
      </c>
      <c r="G8" s="46" t="n">
        <v>3.49</v>
      </c>
      <c r="H8" s="46" t="n">
        <v>3.85</v>
      </c>
      <c r="I8" s="46" t="n">
        <v>4.1</v>
      </c>
      <c r="J8" s="46" t="n">
        <v>4.3</v>
      </c>
    </row>
    <row r="9" customFormat="false" ht="15" hidden="false" customHeight="false" outlineLevel="0" collapsed="false">
      <c r="C9" s="11"/>
      <c r="D9" s="11"/>
      <c r="E9" s="11" t="n">
        <v>35</v>
      </c>
      <c r="F9" s="46" t="n">
        <v>2.03</v>
      </c>
      <c r="G9" s="46" t="n">
        <v>3.47</v>
      </c>
      <c r="H9" s="46" t="n">
        <v>3.83</v>
      </c>
      <c r="I9" s="46" t="n">
        <v>4.08</v>
      </c>
      <c r="J9" s="46" t="n">
        <v>4.28</v>
      </c>
    </row>
    <row r="10" customFormat="false" ht="15.75" hidden="false" customHeight="false" outlineLevel="0" collapsed="false">
      <c r="A10" s="47" t="s">
        <v>118</v>
      </c>
      <c r="B10" s="48" t="n">
        <f aca="false">(TINV(0.05,B6)*SQRT(2*B5)/SQRT(B4))</f>
        <v>1.45427488529475</v>
      </c>
      <c r="C10" s="11"/>
      <c r="D10" s="11"/>
      <c r="E10" s="11" t="n">
        <v>40</v>
      </c>
      <c r="F10" s="46" t="n">
        <v>2.02</v>
      </c>
      <c r="G10" s="46" t="n">
        <v>3.44</v>
      </c>
      <c r="H10" s="46" t="n">
        <v>3.79</v>
      </c>
      <c r="I10" s="46" t="n">
        <v>4.04</v>
      </c>
      <c r="J10" s="46" t="n">
        <v>4.23</v>
      </c>
    </row>
    <row r="11" customFormat="false" ht="15.75" hidden="false" customHeight="false" outlineLevel="0" collapsed="false">
      <c r="A11" s="47" t="s">
        <v>119</v>
      </c>
      <c r="B11" s="48" t="n">
        <f aca="false">VLOOKUP(B6,E3:J16,B3)*(SQRT(B5)/SQRT(B4))</f>
        <v>1.74789669521481</v>
      </c>
      <c r="C11" s="11"/>
      <c r="D11" s="11"/>
      <c r="E11" s="11" t="n">
        <v>50</v>
      </c>
      <c r="F11" s="46" t="n">
        <v>2.01</v>
      </c>
      <c r="G11" s="46" t="n">
        <v>3.42</v>
      </c>
      <c r="H11" s="46" t="n">
        <v>3.76</v>
      </c>
      <c r="I11" s="46" t="n">
        <v>4.01</v>
      </c>
      <c r="J11" s="46" t="n">
        <v>4.2</v>
      </c>
    </row>
    <row r="12" customFormat="false" ht="15" hidden="false" customHeight="false" outlineLevel="0" collapsed="false">
      <c r="E12" s="11" t="n">
        <v>60</v>
      </c>
      <c r="F12" s="46" t="n">
        <v>2</v>
      </c>
      <c r="G12" s="46" t="n">
        <v>3.4</v>
      </c>
      <c r="H12" s="46" t="n">
        <v>3.74</v>
      </c>
      <c r="I12" s="46" t="n">
        <v>3.98</v>
      </c>
      <c r="J12" s="46" t="n">
        <v>4.16</v>
      </c>
    </row>
    <row r="13" customFormat="false" ht="15" hidden="false" customHeight="false" outlineLevel="0" collapsed="false">
      <c r="A13" s="49"/>
      <c r="E13" s="11" t="n">
        <v>90</v>
      </c>
      <c r="F13" s="46" t="n">
        <v>2.01</v>
      </c>
      <c r="G13" s="46" t="n">
        <v>3.37</v>
      </c>
      <c r="H13" s="46" t="n">
        <v>3.71</v>
      </c>
      <c r="I13" s="46" t="n">
        <v>3.95</v>
      </c>
      <c r="J13" s="46" t="n">
        <v>4.13</v>
      </c>
    </row>
    <row r="14" customFormat="false" ht="15" hidden="false" customHeight="false" outlineLevel="0" collapsed="false">
      <c r="A14" s="49"/>
      <c r="E14" s="11" t="n">
        <v>120</v>
      </c>
      <c r="F14" s="46" t="n">
        <v>1.98</v>
      </c>
      <c r="G14" s="46" t="n">
        <v>3.36</v>
      </c>
      <c r="H14" s="46" t="n">
        <v>3.68</v>
      </c>
      <c r="I14" s="46" t="n">
        <v>3.92</v>
      </c>
      <c r="J14" s="46" t="n">
        <v>4.1</v>
      </c>
    </row>
    <row r="15" customFormat="false" ht="15" hidden="false" customHeight="false" outlineLevel="0" collapsed="false">
      <c r="A15" s="49"/>
      <c r="E15" s="11" t="n">
        <v>200</v>
      </c>
      <c r="F15" s="46" t="n">
        <v>1.97</v>
      </c>
      <c r="G15" s="46" t="n">
        <v>3.34</v>
      </c>
      <c r="H15" s="46" t="n">
        <v>3.67</v>
      </c>
      <c r="I15" s="46" t="n">
        <v>3.9</v>
      </c>
      <c r="J15" s="46" t="n">
        <v>4.08</v>
      </c>
    </row>
    <row r="16" customFormat="false" ht="15" hidden="false" customHeight="false" outlineLevel="0" collapsed="false">
      <c r="A16" s="0"/>
      <c r="E16" s="11" t="n">
        <v>999</v>
      </c>
      <c r="F16" s="46" t="n">
        <v>1.96</v>
      </c>
      <c r="G16" s="46" t="n">
        <v>3.31</v>
      </c>
      <c r="H16" s="46" t="n">
        <v>3.63</v>
      </c>
      <c r="I16" s="46" t="n">
        <v>3.86</v>
      </c>
      <c r="J16" s="46" t="n">
        <v>4.03</v>
      </c>
    </row>
    <row r="17" customFormat="false" ht="15" hidden="false" customHeight="false" outlineLevel="0" collapsed="false">
      <c r="A17" s="0"/>
      <c r="E17" s="11" t="s">
        <v>49</v>
      </c>
    </row>
  </sheetData>
  <mergeCells count="2">
    <mergeCell ref="A1:B1"/>
    <mergeCell ref="G1:J1"/>
  </mergeCells>
  <dataValidations count="1">
    <dataValidation allowBlank="true" errorStyle="stop" operator="between" showDropDown="false" showErrorMessage="true" showInputMessage="false" sqref="B6" type="list">
      <formula1>$E$3:$E$16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3" min="3" style="0" width="25.13"/>
    <col collapsed="false" customWidth="true" hidden="false" outlineLevel="0" max="4" min="4" style="0" width="14.14"/>
  </cols>
  <sheetData>
    <row r="1" customFormat="false" ht="15.75" hidden="false" customHeight="false" outlineLevel="0" collapsed="false">
      <c r="A1" s="12" t="s">
        <v>120</v>
      </c>
      <c r="B1" s="12"/>
      <c r="C1" s="12"/>
    </row>
    <row r="3" customFormat="false" ht="15.75" hidden="false" customHeight="false" outlineLevel="0" collapsed="false">
      <c r="C3" s="13" t="s">
        <v>121</v>
      </c>
      <c r="D3" s="14" t="n">
        <v>0.432</v>
      </c>
    </row>
    <row r="4" customFormat="false" ht="15.75" hidden="false" customHeight="false" outlineLevel="0" collapsed="false">
      <c r="C4" s="13" t="s">
        <v>122</v>
      </c>
      <c r="D4" s="14" t="n">
        <v>3</v>
      </c>
    </row>
    <row r="5" customFormat="false" ht="15.75" hidden="false" customHeight="false" outlineLevel="0" collapsed="false">
      <c r="C5" s="13"/>
      <c r="D5" s="14"/>
    </row>
    <row r="6" customFormat="false" ht="15.75" hidden="false" customHeight="false" outlineLevel="0" collapsed="false">
      <c r="C6" s="13" t="s">
        <v>123</v>
      </c>
      <c r="D6" s="14" t="n">
        <v>0.361</v>
      </c>
    </row>
    <row r="7" customFormat="false" ht="15.75" hidden="false" customHeight="false" outlineLevel="0" collapsed="false">
      <c r="C7" s="13" t="s">
        <v>122</v>
      </c>
      <c r="D7" s="14" t="n">
        <v>2</v>
      </c>
    </row>
    <row r="8" customFormat="false" ht="15.75" hidden="false" customHeight="false" outlineLevel="0" collapsed="false">
      <c r="C8" s="13"/>
      <c r="D8" s="14"/>
    </row>
    <row r="9" customFormat="false" ht="15.75" hidden="false" customHeight="false" outlineLevel="0" collapsed="false">
      <c r="C9" s="13" t="s">
        <v>124</v>
      </c>
      <c r="D9" s="14" t="n">
        <v>200</v>
      </c>
    </row>
    <row r="12" customFormat="false" ht="15.75" hidden="false" customHeight="false" outlineLevel="0" collapsed="false">
      <c r="C12" s="15" t="s">
        <v>125</v>
      </c>
      <c r="D12" s="18" t="n">
        <f aca="false">((D3-D6)/(D4-D7))/((1-D3)/(D9-D4-1))</f>
        <v>24.5</v>
      </c>
    </row>
    <row r="13" customFormat="false" ht="15.75" hidden="false" customHeight="false" outlineLevel="0" collapsed="false">
      <c r="C13" s="15" t="s">
        <v>126</v>
      </c>
      <c r="D13" s="26" t="n">
        <f aca="false">D4-D7</f>
        <v>1</v>
      </c>
    </row>
    <row r="14" customFormat="false" ht="15.75" hidden="false" customHeight="false" outlineLevel="0" collapsed="false">
      <c r="C14" s="15" t="s">
        <v>127</v>
      </c>
      <c r="D14" s="26" t="n">
        <f aca="false">(D9-D4-1)</f>
        <v>196</v>
      </c>
    </row>
    <row r="15" customFormat="false" ht="15.75" hidden="false" customHeight="false" outlineLevel="0" collapsed="false">
      <c r="C15" s="15" t="s">
        <v>90</v>
      </c>
      <c r="D15" s="26" t="n">
        <f aca="false">FDIST(D12,D13,D14)</f>
        <v>1.59722461067076E-006</v>
      </c>
    </row>
    <row r="19" customFormat="false" ht="12.75" hidden="false" customHeight="false" outlineLevel="0" collapsed="false">
      <c r="B19" s="50" t="s">
        <v>128</v>
      </c>
      <c r="C19" s="50"/>
      <c r="D19" s="50"/>
      <c r="E19" s="50"/>
      <c r="F19" s="50"/>
      <c r="G19" s="50"/>
    </row>
    <row r="20" customFormat="false" ht="12.75" hidden="false" customHeight="false" outlineLevel="0" collapsed="false">
      <c r="B20" s="50"/>
      <c r="C20" s="50"/>
      <c r="D20" s="50"/>
      <c r="E20" s="50"/>
      <c r="F20" s="50"/>
      <c r="G20" s="50"/>
    </row>
  </sheetData>
  <mergeCells count="2">
    <mergeCell ref="A1:C1"/>
    <mergeCell ref="B19:G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9" activeCellId="0" sqref="N19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4" min="4" style="0" width="12.42"/>
  </cols>
  <sheetData>
    <row r="1" customFormat="false" ht="15" hidden="false" customHeight="false" outlineLevel="0" collapsed="false">
      <c r="A1" s="51" t="s">
        <v>129</v>
      </c>
      <c r="B1" s="51"/>
      <c r="C1" s="51"/>
      <c r="D1" s="51"/>
      <c r="E1" s="51"/>
      <c r="F1" s="51"/>
    </row>
    <row r="3" customFormat="false" ht="15.75" hidden="false" customHeight="false" outlineLevel="0" collapsed="false">
      <c r="C3" s="14" t="s">
        <v>130</v>
      </c>
      <c r="D3" s="14" t="n">
        <v>0.3</v>
      </c>
    </row>
    <row r="4" customFormat="false" ht="15.75" hidden="false" customHeight="false" outlineLevel="0" collapsed="false">
      <c r="C4" s="14" t="s">
        <v>131</v>
      </c>
      <c r="D4" s="14" t="n">
        <v>0.2</v>
      </c>
    </row>
    <row r="5" customFormat="false" ht="15.75" hidden="false" customHeight="false" outlineLevel="0" collapsed="false">
      <c r="D5" s="14"/>
    </row>
    <row r="6" customFormat="false" ht="15.75" hidden="false" customHeight="false" outlineLevel="0" collapsed="false">
      <c r="C6" s="14" t="s">
        <v>132</v>
      </c>
      <c r="D6" s="14" t="n">
        <v>0.5</v>
      </c>
    </row>
    <row r="7" customFormat="false" ht="15.75" hidden="false" customHeight="false" outlineLevel="0" collapsed="false">
      <c r="C7" s="14" t="s">
        <v>133</v>
      </c>
      <c r="D7" s="14" t="n">
        <v>200</v>
      </c>
    </row>
    <row r="10" customFormat="false" ht="15.75" hidden="false" customHeight="false" outlineLevel="0" collapsed="false">
      <c r="C10" s="52" t="s">
        <v>134</v>
      </c>
      <c r="D10" s="53" t="n">
        <f aca="false">(D33-D34)*D35</f>
        <v>1.46205812220718</v>
      </c>
    </row>
    <row r="11" customFormat="false" ht="15.75" hidden="false" customHeight="false" outlineLevel="0" collapsed="false">
      <c r="C11" s="54" t="s">
        <v>90</v>
      </c>
      <c r="D11" s="55" t="n">
        <f aca="false">NORMDIST(0,ABS(D10),1,TRUE())*2</f>
        <v>0.143725283251539</v>
      </c>
    </row>
    <row r="13" customFormat="false" ht="12.75" hidden="false" customHeight="false" outlineLevel="0" collapsed="false">
      <c r="A13" s="56" t="s">
        <v>135</v>
      </c>
      <c r="B13" s="56"/>
      <c r="C13" s="56"/>
      <c r="D13" s="56"/>
      <c r="E13" s="56"/>
      <c r="F13" s="56"/>
      <c r="G13" s="56"/>
      <c r="H13" s="56"/>
      <c r="I13" s="56"/>
      <c r="J13" s="56"/>
    </row>
    <row r="14" customFormat="false" ht="12.75" hidden="false" customHeight="false" outlineLevel="0" collapsed="false">
      <c r="A14" s="56"/>
      <c r="B14" s="56"/>
      <c r="C14" s="56"/>
      <c r="D14" s="56"/>
      <c r="E14" s="56"/>
      <c r="F14" s="56"/>
      <c r="G14" s="56"/>
      <c r="H14" s="56"/>
      <c r="I14" s="56"/>
      <c r="J14" s="56"/>
    </row>
    <row r="15" customFormat="false" ht="12.75" hidden="false" customHeight="false" outlineLevel="0" collapsed="false">
      <c r="A15" s="56"/>
      <c r="B15" s="56"/>
      <c r="C15" s="56"/>
      <c r="D15" s="56"/>
      <c r="E15" s="56"/>
      <c r="F15" s="56"/>
      <c r="G15" s="56"/>
      <c r="H15" s="56"/>
      <c r="I15" s="56"/>
      <c r="J15" s="56"/>
    </row>
    <row r="28" customFormat="false" ht="12.75" hidden="false" customHeight="false" outlineLevel="0" collapsed="false">
      <c r="B28" s="57" t="s">
        <v>136</v>
      </c>
      <c r="C28" s="57"/>
    </row>
    <row r="30" customFormat="false" ht="12.75" hidden="false" customHeight="false" outlineLevel="0" collapsed="false">
      <c r="C30" s="9" t="s">
        <v>137</v>
      </c>
      <c r="D30" s="0" t="n">
        <f aca="false">((D3*D3)+(D4*D4))/2</f>
        <v>0.065</v>
      </c>
    </row>
    <row r="31" customFormat="false" ht="12.75" hidden="false" customHeight="false" outlineLevel="0" collapsed="false">
      <c r="C31" s="9" t="s">
        <v>138</v>
      </c>
      <c r="D31" s="0" t="n">
        <f aca="false">(1-D6)/(2*(1-D30))</f>
        <v>0.267379679144385</v>
      </c>
    </row>
    <row r="32" customFormat="false" ht="12.75" hidden="false" customHeight="false" outlineLevel="0" collapsed="false">
      <c r="C32" s="9" t="s">
        <v>139</v>
      </c>
      <c r="D32" s="0" t="n">
        <f aca="false">(1-(D31*D30))/(1-D30)</f>
        <v>1.05093082444451</v>
      </c>
    </row>
    <row r="33" customFormat="false" ht="12.75" hidden="false" customHeight="false" outlineLevel="0" collapsed="false">
      <c r="C33" s="9" t="s">
        <v>140</v>
      </c>
      <c r="D33" s="0" t="n">
        <f aca="false">FISHER(D3)</f>
        <v>0.309519604203112</v>
      </c>
    </row>
    <row r="34" customFormat="false" ht="12.75" hidden="false" customHeight="false" outlineLevel="0" collapsed="false">
      <c r="C34" s="9" t="s">
        <v>141</v>
      </c>
      <c r="D34" s="9" t="n">
        <f aca="false">FISHER(D4)</f>
        <v>0.202732554054082</v>
      </c>
    </row>
    <row r="35" customFormat="false" ht="12.75" hidden="false" customHeight="false" outlineLevel="0" collapsed="false">
      <c r="C35" s="9" t="s">
        <v>142</v>
      </c>
      <c r="D35" s="0" t="n">
        <f aca="false">(SQRT(D7-3))/SQRT(2*(1-D6)*D32)</f>
        <v>13.6913429125232</v>
      </c>
    </row>
  </sheetData>
  <mergeCells count="3">
    <mergeCell ref="A1:F1"/>
    <mergeCell ref="A13:J15"/>
    <mergeCell ref="B28:C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9.0546875" defaultRowHeight="12.75" customHeight="false" zeroHeight="false" outlineLevelRow="0" outlineLevelCol="0"/>
  <sheetData>
    <row r="1" customFormat="false" ht="15.75" hidden="false" customHeight="false" outlineLevel="0" collapsed="false">
      <c r="A1" s="28" t="s">
        <v>143</v>
      </c>
      <c r="B1" s="28"/>
      <c r="C1" s="28"/>
      <c r="D1" s="28"/>
      <c r="E1" s="28"/>
      <c r="F1" s="28"/>
      <c r="G1" s="28"/>
    </row>
    <row r="3" customFormat="false" ht="15.75" hidden="false" customHeight="false" outlineLevel="0" collapsed="false">
      <c r="B3" s="58" t="s">
        <v>49</v>
      </c>
      <c r="C3" s="58" t="s">
        <v>144</v>
      </c>
      <c r="D3" s="13" t="s">
        <v>145</v>
      </c>
      <c r="E3" s="14" t="n">
        <v>0.111</v>
      </c>
    </row>
    <row r="4" customFormat="false" ht="15.75" hidden="false" customHeight="false" outlineLevel="0" collapsed="false">
      <c r="D4" s="13" t="s">
        <v>146</v>
      </c>
      <c r="E4" s="14" t="n">
        <v>66</v>
      </c>
    </row>
    <row r="5" customFormat="false" ht="15.75" hidden="false" customHeight="false" outlineLevel="0" collapsed="false">
      <c r="E5" s="14"/>
    </row>
    <row r="6" customFormat="false" ht="15.75" hidden="false" customHeight="false" outlineLevel="0" collapsed="false">
      <c r="C6" s="9" t="s">
        <v>147</v>
      </c>
      <c r="D6" s="13" t="s">
        <v>145</v>
      </c>
      <c r="E6" s="14" t="n">
        <v>-0.289</v>
      </c>
    </row>
    <row r="7" customFormat="false" ht="15.75" hidden="false" customHeight="false" outlineLevel="0" collapsed="false">
      <c r="D7" s="13" t="s">
        <v>146</v>
      </c>
      <c r="E7" s="14" t="n">
        <v>170</v>
      </c>
    </row>
    <row r="10" customFormat="false" ht="15.75" hidden="false" customHeight="false" outlineLevel="0" collapsed="false">
      <c r="D10" s="54" t="s">
        <v>134</v>
      </c>
      <c r="E10" s="53" t="n">
        <f aca="false">(C27-C28)/C32</f>
        <v>2.76578158354485</v>
      </c>
    </row>
    <row r="11" customFormat="false" ht="15.75" hidden="false" customHeight="false" outlineLevel="0" collapsed="false">
      <c r="D11" s="54" t="s">
        <v>90</v>
      </c>
      <c r="E11" s="59" t="n">
        <f aca="false">NORMDIST(0,ABS(E10),1,TRUE())*2</f>
        <v>0.00567865551496353</v>
      </c>
    </row>
    <row r="14" customFormat="false" ht="12.75" hidden="false" customHeight="true" outlineLevel="0" collapsed="false">
      <c r="B14" s="60" t="s">
        <v>148</v>
      </c>
      <c r="C14" s="60"/>
      <c r="D14" s="60"/>
      <c r="E14" s="60"/>
      <c r="F14" s="60"/>
      <c r="G14" s="60"/>
      <c r="H14" s="60"/>
      <c r="I14" s="60"/>
    </row>
    <row r="15" customFormat="false" ht="12.75" hidden="false" customHeight="false" outlineLevel="0" collapsed="false">
      <c r="B15" s="60"/>
      <c r="C15" s="60"/>
      <c r="D15" s="60"/>
      <c r="E15" s="60"/>
      <c r="F15" s="60"/>
      <c r="G15" s="60"/>
      <c r="H15" s="60"/>
      <c r="I15" s="60"/>
    </row>
    <row r="16" customFormat="false" ht="12.75" hidden="false" customHeight="false" outlineLevel="0" collapsed="false">
      <c r="B16" s="60"/>
      <c r="C16" s="60"/>
      <c r="D16" s="60"/>
      <c r="E16" s="60"/>
      <c r="F16" s="60"/>
      <c r="G16" s="60"/>
      <c r="H16" s="60"/>
      <c r="I16" s="60"/>
    </row>
    <row r="26" customFormat="false" ht="12.75" hidden="false" customHeight="false" outlineLevel="0" collapsed="false">
      <c r="A26" s="57" t="s">
        <v>149</v>
      </c>
      <c r="B26" s="57"/>
      <c r="C26" s="57"/>
    </row>
    <row r="27" customFormat="false" ht="12.75" hidden="false" customHeight="false" outlineLevel="0" collapsed="false">
      <c r="B27" s="9" t="s">
        <v>150</v>
      </c>
      <c r="C27" s="0" t="n">
        <f aca="false">FISHER(E3)</f>
        <v>0.111459277062863</v>
      </c>
    </row>
    <row r="28" customFormat="false" ht="12.75" hidden="false" customHeight="false" outlineLevel="0" collapsed="false">
      <c r="B28" s="9" t="s">
        <v>151</v>
      </c>
      <c r="C28" s="0" t="n">
        <f aca="false">FISHER(E6)</f>
        <v>-0.297474786567973</v>
      </c>
    </row>
    <row r="29" customFormat="false" ht="12.75" hidden="false" customHeight="false" outlineLevel="0" collapsed="false">
      <c r="B29" s="9" t="s">
        <v>152</v>
      </c>
      <c r="C29" s="0" t="n">
        <f aca="false">1/(E4-3)</f>
        <v>0.0158730158730159</v>
      </c>
    </row>
    <row r="30" customFormat="false" ht="12.75" hidden="false" customHeight="false" outlineLevel="0" collapsed="false">
      <c r="B30" s="9" t="s">
        <v>153</v>
      </c>
      <c r="C30" s="0" t="n">
        <f aca="false">1/(E7-3)</f>
        <v>0.00598802395209581</v>
      </c>
    </row>
    <row r="31" customFormat="false" ht="12.75" hidden="false" customHeight="false" outlineLevel="0" collapsed="false">
      <c r="B31" s="9" t="s">
        <v>154</v>
      </c>
      <c r="C31" s="0" t="n">
        <f aca="false">C29+C30</f>
        <v>0.0218610398251117</v>
      </c>
    </row>
    <row r="32" customFormat="false" ht="12.75" hidden="false" customHeight="false" outlineLevel="0" collapsed="false">
      <c r="B32" s="9" t="s">
        <v>155</v>
      </c>
      <c r="C32" s="9" t="n">
        <f aca="false">SQRT(C29+C30)</f>
        <v>0.147854793040712</v>
      </c>
    </row>
  </sheetData>
  <mergeCells count="3">
    <mergeCell ref="A1:G1"/>
    <mergeCell ref="B14:I16"/>
    <mergeCell ref="A26:C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L18" activeCellId="0" sqref="L18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4" min="4" style="0" width="9.99"/>
    <col collapsed="false" customWidth="true" hidden="false" outlineLevel="0" max="5" min="5" style="0" width="10.41"/>
    <col collapsed="false" customWidth="true" hidden="false" outlineLevel="0" max="6" min="6" style="0" width="15.85"/>
  </cols>
  <sheetData>
    <row r="1" customFormat="false" ht="15.75" hidden="false" customHeight="false" outlineLevel="0" collapsed="false">
      <c r="A1" s="61" t="s">
        <v>156</v>
      </c>
      <c r="B1" s="61"/>
      <c r="C1" s="61"/>
      <c r="D1" s="61"/>
      <c r="E1" s="61"/>
      <c r="F1" s="62"/>
      <c r="G1" s="62"/>
      <c r="H1" s="62"/>
      <c r="I1" s="62"/>
    </row>
    <row r="2" customFormat="false" ht="15.75" hidden="false" customHeight="false" outlineLevel="0" collapsed="false">
      <c r="A2" s="63"/>
      <c r="B2" s="63"/>
      <c r="C2" s="63"/>
      <c r="D2" s="63"/>
      <c r="E2" s="63"/>
    </row>
    <row r="3" customFormat="false" ht="15" hidden="false" customHeight="false" outlineLevel="0" collapsed="false">
      <c r="A3" s="24" t="s">
        <v>157</v>
      </c>
      <c r="B3" s="0" t="n">
        <v>0.002698</v>
      </c>
    </row>
    <row r="4" customFormat="false" ht="15.75" hidden="false" customHeight="false" outlineLevel="0" collapsed="false">
      <c r="A4" s="24" t="s">
        <v>158</v>
      </c>
      <c r="B4" s="0" t="n">
        <v>2.145</v>
      </c>
      <c r="D4" s="14" t="s">
        <v>144</v>
      </c>
      <c r="E4" s="13" t="s">
        <v>157</v>
      </c>
      <c r="F4" s="19" t="n">
        <v>0.002698</v>
      </c>
    </row>
    <row r="5" customFormat="false" ht="15.75" hidden="false" customHeight="false" outlineLevel="0" collapsed="false">
      <c r="A5" s="64" t="s">
        <v>159</v>
      </c>
      <c r="B5" s="0" t="n">
        <f aca="false">B3/B4</f>
        <v>0.00125780885780886</v>
      </c>
      <c r="D5" s="14"/>
      <c r="E5" s="13" t="s">
        <v>159</v>
      </c>
      <c r="F5" s="19" t="n">
        <v>0.001258</v>
      </c>
    </row>
    <row r="6" customFormat="false" ht="15.75" hidden="false" customHeight="false" outlineLevel="0" collapsed="false">
      <c r="D6" s="37" t="s">
        <v>160</v>
      </c>
      <c r="E6" s="37"/>
      <c r="F6" s="19" t="n">
        <v>60</v>
      </c>
    </row>
    <row r="7" customFormat="false" ht="15.75" hidden="false" customHeight="false" outlineLevel="0" collapsed="false">
      <c r="D7" s="14"/>
      <c r="E7" s="13"/>
      <c r="F7" s="14"/>
    </row>
    <row r="8" customFormat="false" ht="15.75" hidden="false" customHeight="false" outlineLevel="0" collapsed="false">
      <c r="D8" s="14" t="s">
        <v>147</v>
      </c>
      <c r="E8" s="13" t="s">
        <v>157</v>
      </c>
      <c r="F8" s="19" t="n">
        <v>0.008588</v>
      </c>
    </row>
    <row r="9" customFormat="false" ht="15.75" hidden="false" customHeight="false" outlineLevel="0" collapsed="false">
      <c r="D9" s="14"/>
      <c r="E9" s="13" t="s">
        <v>159</v>
      </c>
      <c r="F9" s="19" t="n">
        <v>0.000757</v>
      </c>
    </row>
    <row r="10" customFormat="false" ht="15.75" hidden="false" customHeight="false" outlineLevel="0" collapsed="false">
      <c r="D10" s="37" t="s">
        <v>160</v>
      </c>
      <c r="E10" s="37"/>
      <c r="F10" s="19" t="n">
        <v>72</v>
      </c>
    </row>
    <row r="13" customFormat="false" ht="15.75" hidden="false" customHeight="false" outlineLevel="0" collapsed="false">
      <c r="B13" s="26"/>
      <c r="C13" s="12" t="s">
        <v>161</v>
      </c>
      <c r="D13" s="12"/>
      <c r="E13" s="15" t="s">
        <v>162</v>
      </c>
      <c r="F13" s="26" t="n">
        <f aca="false">SQRT(((F6*F5^2)+(F10*F9^2))/(F6+F10))</f>
        <v>0.00101583436373528</v>
      </c>
    </row>
    <row r="14" customFormat="false" ht="15.75" hidden="false" customHeight="false" outlineLevel="0" collapsed="false">
      <c r="B14" s="26"/>
      <c r="C14" s="26"/>
      <c r="D14" s="26"/>
      <c r="E14" s="15" t="s">
        <v>134</v>
      </c>
      <c r="F14" s="26" t="n">
        <f aca="false">ABS(F4-F8)/F13</f>
        <v>5.79818936065734</v>
      </c>
    </row>
    <row r="15" customFormat="false" ht="15.75" hidden="false" customHeight="false" outlineLevel="0" collapsed="false">
      <c r="B15" s="26"/>
      <c r="C15" s="26"/>
      <c r="D15" s="26"/>
      <c r="E15" s="15" t="s">
        <v>90</v>
      </c>
      <c r="F15" s="26" t="n">
        <f aca="false">NORMDIST(0,ABS(F14),1,TRUE())*2</f>
        <v>6.7034734750176E-009</v>
      </c>
    </row>
    <row r="16" customFormat="false" ht="15.75" hidden="false" customHeight="false" outlineLevel="0" collapsed="false">
      <c r="B16" s="26"/>
      <c r="C16" s="26"/>
      <c r="D16" s="26"/>
      <c r="E16" s="26"/>
      <c r="F16" s="26"/>
    </row>
    <row r="17" customFormat="false" ht="15.75" hidden="false" customHeight="false" outlineLevel="0" collapsed="false">
      <c r="B17" s="26"/>
      <c r="C17" s="26"/>
      <c r="D17" s="26"/>
      <c r="E17" s="26"/>
      <c r="F17" s="26"/>
    </row>
    <row r="18" customFormat="false" ht="15.75" hidden="false" customHeight="false" outlineLevel="0" collapsed="false">
      <c r="B18" s="12" t="s">
        <v>163</v>
      </c>
      <c r="C18" s="12"/>
      <c r="D18" s="12"/>
      <c r="E18" s="15" t="s">
        <v>162</v>
      </c>
      <c r="F18" s="65" t="n">
        <f aca="false">SQRT(F5^2+F9^2)</f>
        <v>0.00146820059937326</v>
      </c>
    </row>
    <row r="19" customFormat="false" ht="15.75" hidden="false" customHeight="false" outlineLevel="0" collapsed="false">
      <c r="B19" s="12" t="s">
        <v>164</v>
      </c>
      <c r="C19" s="12"/>
      <c r="D19" s="12"/>
      <c r="E19" s="15" t="s">
        <v>134</v>
      </c>
      <c r="F19" s="26" t="n">
        <f aca="false">ABS((F4-F8)/F18)</f>
        <v>4.01171338747192</v>
      </c>
    </row>
    <row r="20" customFormat="false" ht="15.75" hidden="false" customHeight="false" outlineLevel="0" collapsed="false">
      <c r="B20" s="26"/>
      <c r="C20" s="26"/>
      <c r="D20" s="26"/>
      <c r="E20" s="15" t="s">
        <v>90</v>
      </c>
      <c r="F20" s="26" t="n">
        <f aca="false">NORMDIST(0,ABS(F19),1,TRUE())*2</f>
        <v>6.02796563923084E-005</v>
      </c>
    </row>
    <row r="23" customFormat="false" ht="12.75" hidden="false" customHeight="true" outlineLevel="0" collapsed="false">
      <c r="C23" s="66" t="s">
        <v>165</v>
      </c>
      <c r="D23" s="66"/>
      <c r="E23" s="66"/>
      <c r="F23" s="66"/>
      <c r="G23" s="66"/>
      <c r="H23" s="66"/>
      <c r="I23" s="66"/>
      <c r="J23" s="66"/>
    </row>
    <row r="24" customFormat="false" ht="12.75" hidden="false" customHeight="false" outlineLevel="0" collapsed="false">
      <c r="C24" s="66"/>
      <c r="D24" s="66"/>
      <c r="E24" s="66"/>
      <c r="F24" s="66"/>
      <c r="G24" s="66"/>
      <c r="H24" s="66"/>
      <c r="I24" s="66"/>
      <c r="J24" s="66"/>
    </row>
    <row r="25" customFormat="false" ht="12.75" hidden="false" customHeight="false" outlineLevel="0" collapsed="false">
      <c r="C25" s="66"/>
      <c r="D25" s="66"/>
      <c r="E25" s="66"/>
      <c r="F25" s="66"/>
      <c r="G25" s="66"/>
      <c r="H25" s="66"/>
      <c r="I25" s="66"/>
      <c r="J25" s="66"/>
    </row>
  </sheetData>
  <mergeCells count="6">
    <mergeCell ref="D6:E6"/>
    <mergeCell ref="D10:E10"/>
    <mergeCell ref="C13:D13"/>
    <mergeCell ref="B18:D18"/>
    <mergeCell ref="B19:D19"/>
    <mergeCell ref="C23:J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0" width="10.99"/>
    <col collapsed="false" customWidth="true" hidden="false" outlineLevel="0" max="4" min="3" style="0" width="26.42"/>
    <col collapsed="false" customWidth="true" hidden="false" outlineLevel="0" max="5" min="5" style="0" width="24.28"/>
  </cols>
  <sheetData>
    <row r="1" customFormat="false" ht="15.75" hidden="false" customHeight="false" outlineLevel="0" collapsed="false">
      <c r="A1" s="67" t="s">
        <v>166</v>
      </c>
      <c r="B1" s="67"/>
      <c r="C1" s="67"/>
    </row>
    <row r="3" customFormat="false" ht="15.75" hidden="false" customHeight="false" outlineLevel="0" collapsed="false">
      <c r="B3" s="14"/>
      <c r="C3" s="14"/>
      <c r="D3" s="40" t="s">
        <v>167</v>
      </c>
      <c r="E3" s="40"/>
    </row>
    <row r="4" customFormat="false" ht="20.25" hidden="false" customHeight="true" outlineLevel="0" collapsed="false">
      <c r="B4" s="14"/>
      <c r="C4" s="14"/>
      <c r="D4" s="14" t="s">
        <v>168</v>
      </c>
      <c r="E4" s="14" t="s">
        <v>169</v>
      </c>
    </row>
    <row r="5" customFormat="false" ht="19.5" hidden="false" customHeight="true" outlineLevel="0" collapsed="false">
      <c r="B5" s="14" t="s">
        <v>170</v>
      </c>
      <c r="C5" s="14" t="s">
        <v>168</v>
      </c>
      <c r="D5" s="68" t="n">
        <v>37</v>
      </c>
      <c r="E5" s="68" t="n">
        <v>26</v>
      </c>
    </row>
    <row r="6" customFormat="false" ht="20.25" hidden="false" customHeight="true" outlineLevel="0" collapsed="false">
      <c r="B6" s="14"/>
      <c r="C6" s="14" t="s">
        <v>169</v>
      </c>
      <c r="D6" s="68" t="n">
        <v>44</v>
      </c>
      <c r="E6" s="68" t="n">
        <v>78</v>
      </c>
    </row>
    <row r="9" customFormat="false" ht="15.75" hidden="false" customHeight="false" outlineLevel="0" collapsed="false">
      <c r="D9" s="15" t="s">
        <v>171</v>
      </c>
      <c r="E9" s="18" t="n">
        <f aca="false">(D6-E5)^2/(D6+E5)</f>
        <v>4.62857142857143</v>
      </c>
    </row>
    <row r="10" customFormat="false" ht="15.75" hidden="false" customHeight="false" outlineLevel="0" collapsed="false">
      <c r="D10" s="15" t="s">
        <v>90</v>
      </c>
      <c r="E10" s="26" t="n">
        <f aca="false">CHIDIST(E9,1)</f>
        <v>0.0314437345458924</v>
      </c>
    </row>
    <row r="11" customFormat="false" ht="12.75" hidden="false" customHeight="false" outlineLevel="0" collapsed="false">
      <c r="D11" s="1"/>
    </row>
    <row r="12" customFormat="false" ht="12.75" hidden="false" customHeight="false" outlineLevel="0" collapsed="false">
      <c r="D12" s="1"/>
    </row>
    <row r="13" customFormat="false" ht="15.75" hidden="false" customHeight="false" outlineLevel="0" collapsed="false">
      <c r="D13" s="15" t="s">
        <v>172</v>
      </c>
      <c r="E13" s="48" t="n">
        <f aca="false">(ABS(D6-E5)-0.5)^2/(D6+E5)</f>
        <v>4.375</v>
      </c>
    </row>
    <row r="14" customFormat="false" ht="15.75" hidden="false" customHeight="false" outlineLevel="0" collapsed="false">
      <c r="D14" s="15" t="s">
        <v>90</v>
      </c>
      <c r="E14" s="26" t="n">
        <f aca="false">CHIDIST(E13,1)</f>
        <v>0.0364698303560265</v>
      </c>
    </row>
  </sheetData>
  <mergeCells count="2">
    <mergeCell ref="A1:C1"/>
    <mergeCell ref="D3:E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5" min="5" style="0" width="20.56"/>
    <col collapsed="false" customWidth="true" hidden="false" outlineLevel="0" max="6" min="6" style="0" width="14.99"/>
  </cols>
  <sheetData>
    <row r="1" customFormat="false" ht="15.75" hidden="false" customHeight="false" outlineLevel="0" collapsed="false">
      <c r="A1" s="61" t="s">
        <v>173</v>
      </c>
      <c r="B1" s="61"/>
      <c r="C1" s="61"/>
      <c r="D1" s="61"/>
      <c r="E1" s="62"/>
    </row>
    <row r="3" customFormat="false" ht="15.75" hidden="false" customHeight="false" outlineLevel="0" collapsed="false">
      <c r="C3" s="37" t="s">
        <v>174</v>
      </c>
      <c r="D3" s="37"/>
      <c r="E3" s="37"/>
      <c r="F3" s="19" t="n">
        <v>25.551</v>
      </c>
    </row>
    <row r="4" customFormat="false" ht="15.75" hidden="false" customHeight="false" outlineLevel="0" collapsed="false">
      <c r="C4" s="37" t="s">
        <v>175</v>
      </c>
      <c r="D4" s="37"/>
      <c r="E4" s="37"/>
      <c r="F4" s="19" t="n">
        <v>7</v>
      </c>
    </row>
    <row r="5" customFormat="false" ht="15.75" hidden="false" customHeight="false" outlineLevel="0" collapsed="false">
      <c r="C5" s="13"/>
      <c r="D5" s="13"/>
      <c r="E5" s="13"/>
      <c r="F5" s="19"/>
    </row>
    <row r="6" customFormat="false" ht="15.75" hidden="false" customHeight="false" outlineLevel="0" collapsed="false">
      <c r="C6" s="37" t="s">
        <v>176</v>
      </c>
      <c r="D6" s="37"/>
      <c r="E6" s="37"/>
      <c r="F6" s="19" t="n">
        <v>6.091</v>
      </c>
    </row>
    <row r="7" customFormat="false" ht="15.75" hidden="false" customHeight="false" outlineLevel="0" collapsed="false">
      <c r="C7" s="37" t="s">
        <v>175</v>
      </c>
      <c r="D7" s="37"/>
      <c r="E7" s="37"/>
      <c r="F7" s="19" t="n">
        <v>2</v>
      </c>
    </row>
    <row r="10" customFormat="false" ht="15.75" hidden="false" customHeight="false" outlineLevel="0" collapsed="false">
      <c r="E10" s="15" t="s">
        <v>177</v>
      </c>
      <c r="F10" s="18" t="n">
        <f aca="false">(F3-F6)</f>
        <v>19.46</v>
      </c>
    </row>
    <row r="11" customFormat="false" ht="15.75" hidden="false" customHeight="false" outlineLevel="0" collapsed="false">
      <c r="E11" s="15" t="s">
        <v>178</v>
      </c>
      <c r="F11" s="26" t="n">
        <f aca="false">F4-F7</f>
        <v>5</v>
      </c>
    </row>
    <row r="12" customFormat="false" ht="15.75" hidden="false" customHeight="false" outlineLevel="0" collapsed="false">
      <c r="E12" s="15" t="s">
        <v>90</v>
      </c>
      <c r="F12" s="26" t="n">
        <f aca="false">CHIDIST(F10,F11)</f>
        <v>0.00157743765580033</v>
      </c>
    </row>
  </sheetData>
  <mergeCells count="4">
    <mergeCell ref="C3:E3"/>
    <mergeCell ref="C4:E4"/>
    <mergeCell ref="C6:E6"/>
    <mergeCell ref="C7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9.0546875" defaultRowHeight="12.75" customHeight="false" zeroHeight="false" outlineLevelRow="0" outlineLevelCol="0"/>
  <sheetData>
    <row r="1" customFormat="false" ht="15.75" hidden="false" customHeight="false" outlineLevel="0" collapsed="false">
      <c r="A1" s="12" t="s">
        <v>179</v>
      </c>
      <c r="B1" s="12"/>
      <c r="C1" s="12"/>
      <c r="D1" s="12"/>
      <c r="E1" s="12"/>
    </row>
    <row r="3" customFormat="false" ht="18.75" hidden="false" customHeight="true" outlineLevel="0" collapsed="false">
      <c r="B3" s="69" t="s">
        <v>180</v>
      </c>
      <c r="C3" s="69"/>
      <c r="D3" s="69"/>
      <c r="F3" s="69" t="s">
        <v>181</v>
      </c>
      <c r="G3" s="69"/>
      <c r="H3" s="69"/>
    </row>
    <row r="4" customFormat="false" ht="12.75" hidden="false" customHeight="false" outlineLevel="0" collapsed="false">
      <c r="B4" s="69"/>
      <c r="C4" s="69"/>
      <c r="D4" s="69"/>
      <c r="F4" s="69"/>
      <c r="G4" s="69"/>
      <c r="H4" s="69"/>
    </row>
    <row r="5" customFormat="false" ht="15" hidden="false" customHeight="true" outlineLevel="0" collapsed="false">
      <c r="B5" s="69" t="s">
        <v>182</v>
      </c>
      <c r="C5" s="69"/>
      <c r="D5" s="69"/>
      <c r="F5" s="69" t="s">
        <v>182</v>
      </c>
      <c r="G5" s="69"/>
      <c r="H5" s="69"/>
    </row>
    <row r="6" customFormat="false" ht="15.75" hidden="false" customHeight="false" outlineLevel="0" collapsed="false">
      <c r="B6" s="70" t="s">
        <v>183</v>
      </c>
      <c r="D6" s="71" t="s">
        <v>184</v>
      </c>
      <c r="F6" s="70" t="s">
        <v>183</v>
      </c>
      <c r="H6" s="71" t="s">
        <v>184</v>
      </c>
      <c r="M6" s="0" t="s">
        <v>185</v>
      </c>
      <c r="N6" s="0" t="s">
        <v>186</v>
      </c>
    </row>
    <row r="7" customFormat="false" ht="15.75" hidden="false" customHeight="false" outlineLevel="0" collapsed="false">
      <c r="B7" s="72" t="n">
        <v>0.169</v>
      </c>
      <c r="D7" s="73" t="n">
        <f aca="false">SQRT(1-B7)</f>
        <v>0.911592014006266</v>
      </c>
      <c r="F7" s="72" t="n">
        <v>0.168</v>
      </c>
      <c r="H7" s="74" t="n">
        <f aca="false">SQRT(1-F7)</f>
        <v>0.91214034007931</v>
      </c>
      <c r="M7" s="0" t="n">
        <f aca="false">MIN(D7*D7,1)</f>
        <v>0.831</v>
      </c>
      <c r="N7" s="0" t="n">
        <f aca="false">MIN(H7*H7,1)</f>
        <v>0.832</v>
      </c>
    </row>
    <row r="8" customFormat="false" ht="15.75" hidden="false" customHeight="false" outlineLevel="0" collapsed="false">
      <c r="B8" s="72" t="n">
        <v>0.496</v>
      </c>
      <c r="D8" s="73" t="n">
        <f aca="false">SQRT(1-B8)</f>
        <v>0.709929573971954</v>
      </c>
      <c r="F8" s="72" t="n">
        <v>0.496</v>
      </c>
      <c r="H8" s="74" t="n">
        <f aca="false">SQRT(1-F8)</f>
        <v>0.709929573971954</v>
      </c>
      <c r="M8" s="0" t="n">
        <f aca="false">MIN(D8*D8,1)</f>
        <v>0.504</v>
      </c>
      <c r="N8" s="0" t="n">
        <f aca="false">MIN(H8*H8,1)</f>
        <v>0.504</v>
      </c>
    </row>
    <row r="9" customFormat="false" ht="15.75" hidden="false" customHeight="false" outlineLevel="0" collapsed="false">
      <c r="B9" s="72"/>
      <c r="D9" s="73" t="n">
        <f aca="false">SQRT(1-B9)</f>
        <v>1</v>
      </c>
      <c r="F9" s="72"/>
      <c r="H9" s="74" t="n">
        <f aca="false">SQRT(1-F9)</f>
        <v>1</v>
      </c>
      <c r="M9" s="0" t="n">
        <f aca="false">MIN(D9*D9,1)</f>
        <v>1</v>
      </c>
      <c r="N9" s="0" t="n">
        <f aca="false">MIN(H9*H9,1)</f>
        <v>1</v>
      </c>
    </row>
    <row r="10" customFormat="false" ht="15.75" hidden="false" customHeight="false" outlineLevel="0" collapsed="false">
      <c r="B10" s="72"/>
      <c r="D10" s="73" t="n">
        <f aca="false">SQRT(1-B10)</f>
        <v>1</v>
      </c>
      <c r="E10" s="75"/>
      <c r="F10" s="72"/>
      <c r="H10" s="74" t="n">
        <f aca="false">SQRT(1-F10)</f>
        <v>1</v>
      </c>
      <c r="M10" s="0" t="n">
        <f aca="false">MIN(D10*D10,1)</f>
        <v>1</v>
      </c>
      <c r="N10" s="0" t="n">
        <f aca="false">MIN(H10*H10,1)</f>
        <v>1</v>
      </c>
    </row>
    <row r="11" customFormat="false" ht="15.75" hidden="false" customHeight="false" outlineLevel="0" collapsed="false">
      <c r="B11" s="72"/>
      <c r="D11" s="73" t="n">
        <f aca="false">SQRT(1-B11)</f>
        <v>1</v>
      </c>
      <c r="E11" s="75"/>
      <c r="F11" s="72"/>
      <c r="H11" s="74" t="n">
        <f aca="false">SQRT(1-F11)</f>
        <v>1</v>
      </c>
      <c r="M11" s="0" t="n">
        <f aca="false">MIN(D11*D11,1)</f>
        <v>1</v>
      </c>
      <c r="N11" s="0" t="n">
        <f aca="false">MIN(H11*H11,1)</f>
        <v>1</v>
      </c>
    </row>
    <row r="12" customFormat="false" ht="15.75" hidden="false" customHeight="false" outlineLevel="0" collapsed="false">
      <c r="B12" s="72"/>
      <c r="D12" s="73" t="n">
        <f aca="false">SQRT(1-B12)</f>
        <v>1</v>
      </c>
      <c r="E12" s="75"/>
      <c r="F12" s="72"/>
      <c r="H12" s="74" t="n">
        <f aca="false">SQRT(1-F12)</f>
        <v>1</v>
      </c>
      <c r="M12" s="0" t="n">
        <f aca="false">MIN(D12*D12,1)</f>
        <v>1</v>
      </c>
      <c r="N12" s="0" t="n">
        <f aca="false">MIN(H12*H12,1)</f>
        <v>1</v>
      </c>
    </row>
    <row r="13" customFormat="false" ht="15.75" hidden="false" customHeight="false" outlineLevel="0" collapsed="false">
      <c r="B13" s="72"/>
      <c r="D13" s="73" t="n">
        <f aca="false">SQRT(1-B13)</f>
        <v>1</v>
      </c>
      <c r="E13" s="75"/>
      <c r="F13" s="72"/>
      <c r="H13" s="74" t="n">
        <f aca="false">SQRT(1-F13)</f>
        <v>1</v>
      </c>
      <c r="M13" s="0" t="n">
        <f aca="false">MIN(D13*D13,1)</f>
        <v>1</v>
      </c>
      <c r="N13" s="0" t="n">
        <f aca="false">MIN(H13*H13,1)</f>
        <v>1</v>
      </c>
    </row>
    <row r="14" customFormat="false" ht="15.75" hidden="false" customHeight="false" outlineLevel="0" collapsed="false">
      <c r="B14" s="72"/>
      <c r="D14" s="73" t="n">
        <f aca="false">SQRT(1-B14)</f>
        <v>1</v>
      </c>
      <c r="F14" s="72"/>
      <c r="H14" s="74" t="n">
        <f aca="false">SQRT(1-F14)</f>
        <v>1</v>
      </c>
      <c r="M14" s="0" t="n">
        <f aca="false">MIN(D14*D14,1)</f>
        <v>1</v>
      </c>
      <c r="N14" s="0" t="n">
        <f aca="false">MIN(H14*H14,1)</f>
        <v>1</v>
      </c>
    </row>
    <row r="15" customFormat="false" ht="15.75" hidden="false" customHeight="false" outlineLevel="0" collapsed="false">
      <c r="B15" s="72"/>
      <c r="D15" s="73" t="n">
        <f aca="false">SQRT(1-B15)</f>
        <v>1</v>
      </c>
      <c r="F15" s="72"/>
      <c r="H15" s="74" t="n">
        <f aca="false">SQRT(1-F15)</f>
        <v>1</v>
      </c>
      <c r="M15" s="0" t="n">
        <f aca="false">MIN(D15*D15,1)</f>
        <v>1</v>
      </c>
      <c r="N15" s="0" t="n">
        <f aca="false">MIN(H15*H15,1)</f>
        <v>1</v>
      </c>
    </row>
    <row r="16" customFormat="false" ht="15.75" hidden="false" customHeight="false" outlineLevel="0" collapsed="false">
      <c r="B16" s="72"/>
      <c r="D16" s="73" t="n">
        <f aca="false">SQRT(1-B16)</f>
        <v>1</v>
      </c>
      <c r="F16" s="72"/>
      <c r="H16" s="74" t="n">
        <f aca="false">SQRT(1-F16)</f>
        <v>1</v>
      </c>
      <c r="M16" s="0" t="n">
        <f aca="false">MIN(D16*D16,1)</f>
        <v>1</v>
      </c>
      <c r="N16" s="0" t="n">
        <f aca="false">MIN(H16*H16,1)</f>
        <v>1</v>
      </c>
    </row>
    <row r="17" customFormat="false" ht="15.75" hidden="false" customHeight="false" outlineLevel="0" collapsed="false">
      <c r="B17" s="72"/>
      <c r="D17" s="73" t="n">
        <f aca="false">SQRT(1-B17)</f>
        <v>1</v>
      </c>
      <c r="F17" s="72"/>
      <c r="H17" s="74" t="n">
        <f aca="false">SQRT(1-F17)</f>
        <v>1</v>
      </c>
      <c r="M17" s="0" t="n">
        <f aca="false">MIN(D17*D17,1)</f>
        <v>1</v>
      </c>
      <c r="N17" s="0" t="n">
        <f aca="false">MIN(H17*H17,1)</f>
        <v>1</v>
      </c>
    </row>
    <row r="18" customFormat="false" ht="15.75" hidden="false" customHeight="false" outlineLevel="0" collapsed="false">
      <c r="B18" s="72"/>
      <c r="D18" s="73" t="n">
        <f aca="false">SQRT(1-B18)</f>
        <v>1</v>
      </c>
      <c r="F18" s="72"/>
      <c r="H18" s="74" t="n">
        <f aca="false">SQRT(1-F18)</f>
        <v>1</v>
      </c>
      <c r="M18" s="0" t="n">
        <f aca="false">MIN(D18*D18,1)</f>
        <v>1</v>
      </c>
      <c r="N18" s="0" t="n">
        <f aca="false">MIN(H18*H18,1)</f>
        <v>1</v>
      </c>
    </row>
    <row r="19" customFormat="false" ht="15.75" hidden="false" customHeight="false" outlineLevel="0" collapsed="false">
      <c r="B19" s="72"/>
      <c r="D19" s="73" t="n">
        <f aca="false">SQRT(1-B19)</f>
        <v>1</v>
      </c>
      <c r="F19" s="72"/>
      <c r="H19" s="74" t="n">
        <f aca="false">SQRT(1-F19)</f>
        <v>1</v>
      </c>
      <c r="M19" s="0" t="n">
        <f aca="false">MIN(D19*D19,1)</f>
        <v>1</v>
      </c>
      <c r="N19" s="0" t="n">
        <f aca="false">MIN(H19*H19,1)</f>
        <v>1</v>
      </c>
    </row>
    <row r="20" customFormat="false" ht="15.75" hidden="false" customHeight="false" outlineLevel="0" collapsed="false">
      <c r="B20" s="72"/>
      <c r="D20" s="73" t="n">
        <f aca="false">SQRT(1-B20)</f>
        <v>1</v>
      </c>
      <c r="F20" s="72"/>
      <c r="H20" s="74" t="n">
        <f aca="false">SQRT(1-F20)</f>
        <v>1</v>
      </c>
      <c r="M20" s="0" t="n">
        <f aca="false">MIN(D20*D20,1)</f>
        <v>1</v>
      </c>
      <c r="N20" s="0" t="n">
        <f aca="false">MIN(H20*H20,1)</f>
        <v>1</v>
      </c>
    </row>
    <row r="21" customFormat="false" ht="15.75" hidden="false" customHeight="false" outlineLevel="0" collapsed="false">
      <c r="B21" s="72"/>
      <c r="D21" s="73" t="n">
        <f aca="false">SQRT(1-B21)</f>
        <v>1</v>
      </c>
      <c r="F21" s="72"/>
      <c r="H21" s="74" t="n">
        <f aca="false">SQRT(1-F21)</f>
        <v>1</v>
      </c>
      <c r="M21" s="0" t="n">
        <f aca="false">MIN(D21*D21,1)</f>
        <v>1</v>
      </c>
      <c r="N21" s="0" t="n">
        <f aca="false">MIN(H21*H21,1)</f>
        <v>1</v>
      </c>
    </row>
    <row r="22" customFormat="false" ht="15.75" hidden="false" customHeight="false" outlineLevel="0" collapsed="false">
      <c r="B22" s="76" t="s">
        <v>187</v>
      </c>
      <c r="C22" s="72" t="n">
        <v>300</v>
      </c>
      <c r="E22" s="76" t="s">
        <v>99</v>
      </c>
      <c r="F22" s="72" t="n">
        <v>2</v>
      </c>
    </row>
    <row r="23" customFormat="false" ht="15.75" hidden="false" customHeight="false" outlineLevel="0" collapsed="false">
      <c r="B23" s="77" t="s">
        <v>188</v>
      </c>
      <c r="C23" s="77"/>
      <c r="D23" s="74" t="n">
        <f aca="false">1-(M7*M8*M9*M10*M11*M12*M13*M14*M15*M16*M17*M18*M19*M20*M21)</f>
        <v>0.581176</v>
      </c>
      <c r="E23" s="74"/>
      <c r="F23" s="77" t="s">
        <v>188</v>
      </c>
      <c r="G23" s="77"/>
      <c r="H23" s="74" t="n">
        <f aca="false">1-(N7*N8*N9*N10*N11*N12*N13*N14*N15*N16*N17*N18*N19*N20*N21)</f>
        <v>0.580672</v>
      </c>
    </row>
    <row r="24" customFormat="false" ht="15.75" hidden="false" customHeight="false" outlineLevel="0" collapsed="false">
      <c r="B24" s="77"/>
      <c r="C24" s="77"/>
      <c r="D24" s="74"/>
      <c r="E24" s="74"/>
      <c r="F24" s="77"/>
      <c r="G24" s="77"/>
      <c r="H24" s="74"/>
    </row>
    <row r="25" customFormat="false" ht="15.75" hidden="false" customHeight="false" outlineLevel="0" collapsed="false">
      <c r="B25" s="77" t="s">
        <v>189</v>
      </c>
      <c r="C25" s="74" t="n">
        <f aca="false">(1-D23)/(1-H23)</f>
        <v>0.998798076923077</v>
      </c>
      <c r="D25" s="74"/>
      <c r="E25" s="77" t="s">
        <v>190</v>
      </c>
      <c r="F25" s="74" t="n">
        <f aca="false">-1*(C22-F22)*LN(C25)</f>
        <v>0.358388497796482</v>
      </c>
      <c r="G25" s="77" t="s">
        <v>90</v>
      </c>
      <c r="H25" s="74" t="n">
        <f aca="false">CHIDIST(F25,F22)</f>
        <v>0.835943502520482</v>
      </c>
    </row>
  </sheetData>
  <mergeCells count="5">
    <mergeCell ref="A1:E1"/>
    <mergeCell ref="B3:D4"/>
    <mergeCell ref="F3:H4"/>
    <mergeCell ref="B5:D5"/>
    <mergeCell ref="F5:H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2012-03-14T21:32:14Z</dcterms:created>
  <dc:creator>Preferred Customer</dc:creator>
  <dc:description/>
  <dc:language>en-US</dc:language>
  <cp:lastModifiedBy>Garbins</cp:lastModifiedBy>
  <dcterms:modified xsi:type="dcterms:W3CDTF">2021-03-24T10:06:48Z</dcterms:modified>
  <cp:revision>0</cp:revision>
  <dc:subject/>
  <dc:title/>
</cp:coreProperties>
</file>