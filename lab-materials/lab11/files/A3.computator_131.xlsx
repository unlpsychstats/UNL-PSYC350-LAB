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fnelincoln-my.sharepoint.com/personal/mwilliamson3_unl_edu/Documents/Desktop/"/>
    </mc:Choice>
  </mc:AlternateContent>
  <xr:revisionPtr revIDLastSave="17" documentId="8_{D51B4653-C1B7-41ED-A925-1BE63908E6E5}" xr6:coauthVersionLast="47" xr6:coauthVersionMax="47" xr10:uidLastSave="{8A15E43E-CF8A-45EC-B848-594C60D4C059}"/>
  <bookViews>
    <workbookView xWindow="13080" yWindow="1312" windowWidth="14370" windowHeight="11423" tabRatio="774" firstSheet="2" activeTab="2" xr2:uid="{00000000-000D-0000-FFFF-FFFF00000000}"/>
  </bookViews>
  <sheets>
    <sheet name="Available Tests" sheetId="13" r:id="rId1"/>
    <sheet name="F or t or d -&gt;r" sheetId="2" r:id="rId2"/>
    <sheet name="F or t or means or r -&gt; d" sheetId="14" r:id="rId3"/>
    <sheet name="pr_means-&gt; r &amp; d" sheetId="3" r:id="rId4"/>
    <sheet name="ChiSq-&gt;r" sheetId="4" r:id="rId5"/>
    <sheet name="pr_chi&gt;r" sheetId="5" r:id="rId6"/>
    <sheet name="Outlier Bourndries" sheetId="15" r:id="rId7"/>
    <sheet name="LSD-HSD" sheetId="1" r:id="rId8"/>
    <sheet name="Rsq chng F-test" sheetId="10" r:id="rId9"/>
    <sheet name="Steiger's Z" sheetId="6" r:id="rId10"/>
    <sheet name="Fisher's Z" sheetId="7" r:id="rId11"/>
    <sheet name="b comp Z-test" sheetId="9" r:id="rId12"/>
    <sheet name="McNemar's Chisq" sheetId="8" r:id="rId13"/>
    <sheet name="Nested ChiSq test" sheetId="11" r:id="rId14"/>
    <sheet name="Path Tests" sheetId="12" r:id="rId1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" i="14" l="1"/>
  <c r="F16" i="3"/>
  <c r="F15" i="3"/>
  <c r="F14" i="3"/>
  <c r="B11" i="3"/>
  <c r="C26" i="14"/>
  <c r="G18" i="14"/>
  <c r="G17" i="14"/>
  <c r="G19" i="14"/>
  <c r="C20" i="14"/>
  <c r="G16" i="14"/>
  <c r="G21" i="2"/>
  <c r="G20" i="2"/>
  <c r="G22" i="2"/>
  <c r="G19" i="2"/>
  <c r="B5" i="9"/>
  <c r="B10" i="1"/>
  <c r="G7" i="15"/>
  <c r="E7" i="15"/>
  <c r="B13" i="14"/>
  <c r="B7" i="14"/>
  <c r="B15" i="2"/>
  <c r="B12" i="2"/>
  <c r="H21" i="12"/>
  <c r="N21" i="12"/>
  <c r="D21" i="12"/>
  <c r="M21" i="12"/>
  <c r="H20" i="12"/>
  <c r="N20" i="12"/>
  <c r="D20" i="12"/>
  <c r="M20" i="12"/>
  <c r="H19" i="12"/>
  <c r="N19" i="12"/>
  <c r="D19" i="12"/>
  <c r="M19" i="12"/>
  <c r="H18" i="12"/>
  <c r="N18" i="12"/>
  <c r="D18" i="12"/>
  <c r="M18" i="12"/>
  <c r="H17" i="12"/>
  <c r="N17" i="12"/>
  <c r="D17" i="12"/>
  <c r="M17" i="12"/>
  <c r="H16" i="12"/>
  <c r="N16" i="12"/>
  <c r="D16" i="12"/>
  <c r="M16" i="12"/>
  <c r="H15" i="12"/>
  <c r="N15" i="12"/>
  <c r="D15" i="12"/>
  <c r="M15" i="12"/>
  <c r="H14" i="12"/>
  <c r="N14" i="12"/>
  <c r="D14" i="12"/>
  <c r="M14" i="12"/>
  <c r="H13" i="12"/>
  <c r="N13" i="12"/>
  <c r="D13" i="12"/>
  <c r="M13" i="12"/>
  <c r="H12" i="12"/>
  <c r="N12" i="12"/>
  <c r="D12" i="12"/>
  <c r="M12" i="12"/>
  <c r="H11" i="12"/>
  <c r="N11" i="12"/>
  <c r="D11" i="12"/>
  <c r="M11" i="12"/>
  <c r="H10" i="12"/>
  <c r="N10" i="12"/>
  <c r="D10" i="12"/>
  <c r="M10" i="12"/>
  <c r="H9" i="12"/>
  <c r="N9" i="12"/>
  <c r="D9" i="12"/>
  <c r="M9" i="12"/>
  <c r="H8" i="12"/>
  <c r="N8" i="12"/>
  <c r="D8" i="12"/>
  <c r="M8" i="12"/>
  <c r="H7" i="12"/>
  <c r="N7" i="12"/>
  <c r="H23" i="12"/>
  <c r="D7" i="12"/>
  <c r="M7" i="12"/>
  <c r="F11" i="11"/>
  <c r="F10" i="11"/>
  <c r="F12" i="11"/>
  <c r="D14" i="10"/>
  <c r="D13" i="10"/>
  <c r="D12" i="10"/>
  <c r="D15" i="10"/>
  <c r="F13" i="9"/>
  <c r="F14" i="9"/>
  <c r="F15" i="9"/>
  <c r="F18" i="9"/>
  <c r="F19" i="9"/>
  <c r="F20" i="9"/>
  <c r="E13" i="8"/>
  <c r="E14" i="8"/>
  <c r="E9" i="8"/>
  <c r="E10" i="8"/>
  <c r="C30" i="7"/>
  <c r="C32" i="7"/>
  <c r="E10" i="7"/>
  <c r="E11" i="7"/>
  <c r="C29" i="7"/>
  <c r="C28" i="7"/>
  <c r="C27" i="7"/>
  <c r="D34" i="6"/>
  <c r="D33" i="6"/>
  <c r="D10" i="6"/>
  <c r="D11" i="6"/>
  <c r="D30" i="6"/>
  <c r="D31" i="6"/>
  <c r="D32" i="6"/>
  <c r="D35" i="6"/>
  <c r="B35" i="5"/>
  <c r="B36" i="5"/>
  <c r="B10" i="4"/>
  <c r="B34" i="5"/>
  <c r="B33" i="5"/>
  <c r="B32" i="5"/>
  <c r="B31" i="5"/>
  <c r="G5" i="3"/>
  <c r="G7" i="3"/>
  <c r="G8" i="3"/>
  <c r="G10" i="3"/>
  <c r="G6" i="3"/>
  <c r="G9" i="3"/>
  <c r="B10" i="3"/>
  <c r="B8" i="2"/>
  <c r="B11" i="1"/>
  <c r="F17" i="3"/>
  <c r="B20" i="3"/>
  <c r="D23" i="12"/>
  <c r="C25" i="12"/>
  <c r="F25" i="12"/>
  <c r="H25" i="12"/>
  <c r="C31" i="7"/>
  <c r="D7" i="5"/>
  <c r="D9" i="5"/>
  <c r="D8" i="5"/>
</calcChain>
</file>

<file path=xl/sharedStrings.xml><?xml version="1.0" encoding="utf-8"?>
<sst xmlns="http://schemas.openxmlformats.org/spreadsheetml/2006/main" count="249" uniqueCount="191">
  <si>
    <t>Cal's Computators</t>
  </si>
  <si>
    <t>Named for Marvin the Martin's computational device!</t>
  </si>
  <si>
    <t xml:space="preserve">Hope these help!   </t>
  </si>
  <si>
    <t>cgarbin@unl.edu for comments, complaints, etc!!</t>
  </si>
  <si>
    <t>Tab</t>
  </si>
  <si>
    <t xml:space="preserve">    What it computes</t>
  </si>
  <si>
    <t>F or t or d--&gt; r</t>
  </si>
  <si>
    <t>r effect size from F-values, t-values or d</t>
  </si>
  <si>
    <t>F or t --&gt; d</t>
  </si>
  <si>
    <t>d effect size from F-values, t-values, means &amp; std &amp; n or means &amp; Mse or r</t>
  </si>
  <si>
    <t>pr_means--&gt;r</t>
  </si>
  <si>
    <t>pairwise r effect size from cell means and Mserror - caculating Mserror from means &amp; Ns</t>
  </si>
  <si>
    <t>ChiSq --&gt; r</t>
  </si>
  <si>
    <t>r effect size from ChiSq-values</t>
  </si>
  <si>
    <t>pr_chi --&gt; r</t>
  </si>
  <si>
    <t>2x2 ChiSq and r</t>
  </si>
  <si>
    <t>Outier Boundries</t>
  </si>
  <si>
    <t>Calculate Hoaglin, Mostteller &amp; Tukey Outlier Boundries from Hinge or Quartile values</t>
  </si>
  <si>
    <t>LSD/HSD</t>
  </si>
  <si>
    <t>LSD &amp; HSD minimum mean difference values</t>
  </si>
  <si>
    <t>Rsq chng F-test</t>
  </si>
  <si>
    <t>R-square Change F-test for comparing nested regression/ldf models</t>
  </si>
  <si>
    <t>Steiger's Z</t>
  </si>
  <si>
    <t>Steiger's Z-test for comparing "correlated correlations" &amp; "non-nested regresssion models"</t>
  </si>
  <si>
    <t>Fisher's Z</t>
  </si>
  <si>
    <t>Fisher's Z-test for comparing correlations  &amp; model fit across groups/populations</t>
  </si>
  <si>
    <t>b comp Z-test</t>
  </si>
  <si>
    <t>comparing raw regression weights across groups/populattions</t>
  </si>
  <si>
    <t>McNemar's ChiSq</t>
  </si>
  <si>
    <t>McNemar's ChiSq test for comparing classification accuracy of LDF models</t>
  </si>
  <si>
    <t>Nested ChiSq test</t>
  </si>
  <si>
    <t>Comparing ChiSq from nested models (ldf, logit, logistic, loglinear, etc)</t>
  </si>
  <si>
    <t>Path Tests</t>
  </si>
  <si>
    <t>Q-test fof comparing (nested) path analysis models</t>
  </si>
  <si>
    <t>Effect Size (r ) for ANOVA &amp; t-tests</t>
  </si>
  <si>
    <r>
      <t>Enter F</t>
    </r>
    <r>
      <rPr>
        <sz val="10"/>
        <rFont val="Arial"/>
        <family val="2"/>
      </rPr>
      <t xml:space="preserve"> =&gt;</t>
    </r>
  </si>
  <si>
    <r>
      <t>Enter df-effect</t>
    </r>
    <r>
      <rPr>
        <sz val="10"/>
        <rFont val="Arial"/>
        <family val="2"/>
      </rPr>
      <t xml:space="preserve"> =&gt;</t>
    </r>
  </si>
  <si>
    <r>
      <t>Enter df-error</t>
    </r>
    <r>
      <rPr>
        <sz val="10"/>
        <rFont val="Arial"/>
        <family val="2"/>
      </rPr>
      <t xml:space="preserve"> =&gt;</t>
    </r>
  </si>
  <si>
    <t xml:space="preserve">r =  </t>
  </si>
  <si>
    <r>
      <t>Enter t</t>
    </r>
    <r>
      <rPr>
        <sz val="10"/>
        <rFont val="Arial"/>
        <family val="2"/>
      </rPr>
      <t xml:space="preserve"> =&gt;</t>
    </r>
  </si>
  <si>
    <t>Enter  d =&gt;</t>
  </si>
  <si>
    <t>n</t>
  </si>
  <si>
    <t>dnum</t>
  </si>
  <si>
    <t>ddem</t>
  </si>
  <si>
    <t>d</t>
  </si>
  <si>
    <t>Effect Size (d ) for ANOVA &amp; t-tests</t>
  </si>
  <si>
    <r>
      <t>Enter n1</t>
    </r>
    <r>
      <rPr>
        <sz val="10"/>
        <rFont val="Arial"/>
        <family val="2"/>
      </rPr>
      <t xml:space="preserve"> =&gt;</t>
    </r>
  </si>
  <si>
    <r>
      <t>Enter n2</t>
    </r>
    <r>
      <rPr>
        <sz val="10"/>
        <rFont val="Arial"/>
        <family val="2"/>
      </rPr>
      <t xml:space="preserve"> =&gt;</t>
    </r>
  </si>
  <si>
    <t xml:space="preserve">d =  </t>
  </si>
  <si>
    <t xml:space="preserve"> </t>
  </si>
  <si>
    <t>G1</t>
  </si>
  <si>
    <t>G2</t>
  </si>
  <si>
    <t xml:space="preserve">Enter =&gt; </t>
  </si>
  <si>
    <r>
      <t>mean</t>
    </r>
    <r>
      <rPr>
        <b/>
        <sz val="10"/>
        <rFont val="Arial"/>
        <family val="2"/>
      </rPr>
      <t xml:space="preserve"> =&gt;</t>
    </r>
    <r>
      <rPr>
        <b/>
        <sz val="12"/>
        <rFont val="Arial"/>
        <family val="2"/>
      </rPr>
      <t xml:space="preserve">         </t>
    </r>
  </si>
  <si>
    <r>
      <t xml:space="preserve">std </t>
    </r>
    <r>
      <rPr>
        <b/>
        <sz val="10"/>
        <rFont val="Arial"/>
        <family val="2"/>
      </rPr>
      <t>=&gt;</t>
    </r>
  </si>
  <si>
    <r>
      <t xml:space="preserve">n </t>
    </r>
    <r>
      <rPr>
        <b/>
        <sz val="10"/>
        <rFont val="Arial"/>
        <family val="2"/>
      </rPr>
      <t>=&gt;</t>
    </r>
  </si>
  <si>
    <t xml:space="preserve">d =   </t>
  </si>
  <si>
    <t>MSE =&gt;</t>
  </si>
  <si>
    <t>Enter  r =&gt;</t>
  </si>
  <si>
    <t>Effect Size (r &amp; d) for Pairwise Mean Comparison</t>
  </si>
  <si>
    <t>Drop-down values &amp; intermediate results</t>
  </si>
  <si>
    <t>Between Groups</t>
  </si>
  <si>
    <t>Within-Groups</t>
  </si>
  <si>
    <r>
      <t>Select the type of  ANOVA design</t>
    </r>
    <r>
      <rPr>
        <sz val="10"/>
        <rFont val="Arial"/>
        <family val="2"/>
      </rPr>
      <t xml:space="preserve"> =&gt;</t>
    </r>
  </si>
  <si>
    <t>BG d=</t>
  </si>
  <si>
    <r>
      <t>Enter mean #1</t>
    </r>
    <r>
      <rPr>
        <sz val="10"/>
        <rFont val="Arial"/>
        <family val="2"/>
      </rPr>
      <t xml:space="preserve"> =&gt;</t>
    </r>
  </si>
  <si>
    <t xml:space="preserve">bg dsq = </t>
  </si>
  <si>
    <r>
      <t>Enter mean #2</t>
    </r>
    <r>
      <rPr>
        <sz val="10"/>
        <rFont val="Arial"/>
        <family val="2"/>
      </rPr>
      <t xml:space="preserve"> =&gt;</t>
    </r>
  </si>
  <si>
    <t>WG d =</t>
  </si>
  <si>
    <r>
      <t>Enter MSe</t>
    </r>
    <r>
      <rPr>
        <sz val="10"/>
        <rFont val="Arial"/>
        <family val="2"/>
      </rPr>
      <t xml:space="preserve"> (Mean Square Error) =&gt;</t>
    </r>
  </si>
  <si>
    <t>wg dsq =</t>
  </si>
  <si>
    <t>rbg =</t>
  </si>
  <si>
    <t xml:space="preserve">r = </t>
  </si>
  <si>
    <t xml:space="preserve">rwg = </t>
  </si>
  <si>
    <t xml:space="preserve">d = </t>
  </si>
  <si>
    <t xml:space="preserve">  For BG ANOVA Only             g1 mean =&gt;</t>
  </si>
  <si>
    <t xml:space="preserve">Computing MSE                             g1 n =&gt;   </t>
  </si>
  <si>
    <t>g2 mean =&gt;</t>
  </si>
  <si>
    <t>n1_n2</t>
  </si>
  <si>
    <t>g2 n =&gt;</t>
  </si>
  <si>
    <t>MSbg</t>
  </si>
  <si>
    <t>F =&gt;</t>
  </si>
  <si>
    <t xml:space="preserve">Mse = </t>
  </si>
  <si>
    <t>Effect Size (r) for Chi-Square</t>
  </si>
  <si>
    <r>
      <t>Enter Chi-Square</t>
    </r>
    <r>
      <rPr>
        <sz val="10"/>
        <rFont val="Arial"/>
        <family val="2"/>
      </rPr>
      <t xml:space="preserve"> =&gt;</t>
    </r>
  </si>
  <si>
    <r>
      <t xml:space="preserve">Enter df </t>
    </r>
    <r>
      <rPr>
        <sz val="10"/>
        <rFont val="Arial"/>
        <family val="2"/>
      </rPr>
      <t>=&gt;</t>
    </r>
  </si>
  <si>
    <r>
      <t>Enter N</t>
    </r>
    <r>
      <rPr>
        <sz val="10"/>
        <rFont val="Arial"/>
        <family val="2"/>
      </rPr>
      <t xml:space="preserve"> =&gt;</t>
    </r>
  </si>
  <si>
    <t>Effect Size (r) for Pairwise Chi-square Comparisons</t>
  </si>
  <si>
    <t>Insert frequencies for the 2x2 pairwise comparison       =&gt;</t>
  </si>
  <si>
    <t xml:space="preserve">Chi-square = </t>
  </si>
  <si>
    <t xml:space="preserve">p = </t>
  </si>
  <si>
    <t>Bonferroni-corrected p-values for various numbers of pairwise comparisons</t>
  </si>
  <si>
    <t>Number of comditions</t>
  </si>
  <si>
    <t>Number of comparisons</t>
  </si>
  <si>
    <t>critical 
p-value</t>
  </si>
  <si>
    <t>intermediate values</t>
  </si>
  <si>
    <t>a =</t>
  </si>
  <si>
    <t>b =</t>
  </si>
  <si>
    <t>c =</t>
  </si>
  <si>
    <t>d =</t>
  </si>
  <si>
    <t>n =</t>
  </si>
  <si>
    <t>(ad-bc)</t>
  </si>
  <si>
    <t>Outlier Boundry Calculator</t>
  </si>
  <si>
    <t xml:space="preserve">Q1 or Lower Hinge  =&gt;  </t>
  </si>
  <si>
    <t>&lt;=  Q3 or Lower Hinge</t>
  </si>
  <si>
    <t>Lower Boundry =</t>
  </si>
  <si>
    <r>
      <rPr>
        <b/>
        <sz val="12"/>
        <color indexed="9"/>
        <rFont val="Arial"/>
        <family val="2"/>
      </rPr>
      <t>.</t>
    </r>
    <r>
      <rPr>
        <b/>
        <sz val="12"/>
        <color indexed="53"/>
        <rFont val="Arial"/>
        <family val="2"/>
      </rPr>
      <t>= Upper Boundry</t>
    </r>
  </si>
  <si>
    <t>LSD &amp; HSD Minimum Mean Difference Computator</t>
  </si>
  <si>
    <t>Studentized Range Statistics</t>
  </si>
  <si>
    <t>df</t>
  </si>
  <si>
    <t>tcrit p=.05</t>
  </si>
  <si>
    <t xml:space="preserve">   k=3</t>
  </si>
  <si>
    <t>k=4</t>
  </si>
  <si>
    <t>k=5</t>
  </si>
  <si>
    <t>k=6</t>
  </si>
  <si>
    <r>
      <t>Enter k</t>
    </r>
    <r>
      <rPr>
        <sz val="10"/>
        <rFont val="Arial"/>
        <family val="2"/>
      </rPr>
      <t xml:space="preserve"> (number of conditions in the effect) =&gt; </t>
    </r>
  </si>
  <si>
    <r>
      <t>Enter n</t>
    </r>
    <r>
      <rPr>
        <sz val="10"/>
        <rFont val="Arial"/>
        <family val="2"/>
      </rPr>
      <t xml:space="preserve"> (average number of data points upon which each mean is based - N/k) =&gt;</t>
    </r>
  </si>
  <si>
    <r>
      <t>Select dferror</t>
    </r>
    <r>
      <rPr>
        <sz val="10"/>
        <rFont val="Arial"/>
        <family val="2"/>
      </rPr>
      <t xml:space="preserve"> (error degrees of freedom - use "next smallest" if no exact match) =&gt;</t>
    </r>
  </si>
  <si>
    <t>LSD minimum mean difference =</t>
  </si>
  <si>
    <t>HSD minimum mean difference =</t>
  </si>
  <si>
    <t>R-square Change F-test</t>
  </si>
  <si>
    <t>Rsq Larger Model =&gt;</t>
  </si>
  <si>
    <t># predictors =&gt;</t>
  </si>
  <si>
    <t>Rsq Smaller Model =&gt;</t>
  </si>
  <si>
    <t>N =&gt;</t>
  </si>
  <si>
    <t xml:space="preserve">F = </t>
  </si>
  <si>
    <t xml:space="preserve">df change = </t>
  </si>
  <si>
    <t xml:space="preserve">df errror = </t>
  </si>
  <si>
    <t>Tabachnick, B.G. and Fidell, L.S. (2013) Using Multivariate Statistics. Pearson, Boston.</t>
  </si>
  <si>
    <t>Steiger's Z-test - Comparing Correlated Correlations</t>
  </si>
  <si>
    <r>
      <rPr>
        <b/>
        <sz val="12"/>
        <rFont val="Arial"/>
        <family val="2"/>
      </rPr>
      <t>r(1,2)</t>
    </r>
    <r>
      <rPr>
        <b/>
        <sz val="11"/>
        <rFont val="Arial"/>
        <family val="2"/>
      </rPr>
      <t xml:space="preserve"> </t>
    </r>
    <r>
      <rPr>
        <sz val="10"/>
        <rFont val="Arial"/>
        <family val="2"/>
      </rPr>
      <t>=&gt;</t>
    </r>
  </si>
  <si>
    <r>
      <rPr>
        <b/>
        <sz val="12"/>
        <rFont val="Arial"/>
        <family val="2"/>
      </rPr>
      <t>r(1,3)</t>
    </r>
    <r>
      <rPr>
        <b/>
        <sz val="11"/>
        <rFont val="Arial"/>
        <family val="2"/>
      </rPr>
      <t xml:space="preserve"> </t>
    </r>
    <r>
      <rPr>
        <sz val="10"/>
        <rFont val="Arial"/>
        <family val="2"/>
      </rPr>
      <t>=&gt;</t>
    </r>
  </si>
  <si>
    <r>
      <rPr>
        <b/>
        <sz val="12"/>
        <rFont val="Arial"/>
        <family val="2"/>
      </rPr>
      <t>r(2,3</t>
    </r>
    <r>
      <rPr>
        <b/>
        <sz val="11"/>
        <rFont val="Arial"/>
        <family val="2"/>
      </rPr>
      <t xml:space="preserve">) </t>
    </r>
    <r>
      <rPr>
        <sz val="10"/>
        <rFont val="Arial"/>
        <family val="2"/>
      </rPr>
      <t>=&gt;</t>
    </r>
  </si>
  <si>
    <r>
      <t xml:space="preserve">N       </t>
    </r>
    <r>
      <rPr>
        <sz val="10"/>
        <rFont val="Arial"/>
        <family val="2"/>
      </rPr>
      <t>=&gt;</t>
    </r>
  </si>
  <si>
    <t xml:space="preserve">Z = </t>
  </si>
  <si>
    <t>Steiger, J. H. (1980). Tests for comparing elements of a correlation matrix. Psychological Bulletin, 87, 245-251.</t>
  </si>
  <si>
    <t>intermediate steps</t>
  </si>
  <si>
    <t>rm-sq</t>
  </si>
  <si>
    <t>f</t>
  </si>
  <si>
    <t>h</t>
  </si>
  <si>
    <t>Z1,2</t>
  </si>
  <si>
    <t>Z1,3</t>
  </si>
  <si>
    <t>rightside</t>
  </si>
  <si>
    <t>Fisher's Z-test - comparing a corrrelation across groups</t>
  </si>
  <si>
    <t>Group 1</t>
  </si>
  <si>
    <r>
      <rPr>
        <b/>
        <sz val="12"/>
        <rFont val="Arial"/>
        <family val="2"/>
      </rPr>
      <t>r(1,2)</t>
    </r>
    <r>
      <rPr>
        <sz val="10"/>
        <rFont val="Arial"/>
      </rPr>
      <t xml:space="preserve"> =&gt;</t>
    </r>
  </si>
  <si>
    <r>
      <rPr>
        <b/>
        <sz val="12"/>
        <rFont val="Arial"/>
        <family val="2"/>
      </rPr>
      <t>n</t>
    </r>
    <r>
      <rPr>
        <sz val="10"/>
        <rFont val="Arial"/>
      </rPr>
      <t xml:space="preserve"> =&gt;</t>
    </r>
  </si>
  <si>
    <t>Group 2</t>
  </si>
  <si>
    <t>Snedcor, G. W. &amp; Cochran, W. G. (1967). Statistical Methods (6th ed.). Aimes, IA: The Iowa State University Press.</t>
  </si>
  <si>
    <t>inttermediate steps</t>
  </si>
  <si>
    <t>Z g1</t>
  </si>
  <si>
    <t>Z g2</t>
  </si>
  <si>
    <t>g1 1/n-3</t>
  </si>
  <si>
    <t>g2 1/n-3</t>
  </si>
  <si>
    <t>sum</t>
  </si>
  <si>
    <t>SEZD</t>
  </si>
  <si>
    <t>Z-test for comparing raw regression weights of models from different groups</t>
  </si>
  <si>
    <t>b =&gt;</t>
  </si>
  <si>
    <t>t =&gt;</t>
  </si>
  <si>
    <t>SE =&gt;</t>
  </si>
  <si>
    <t>df (N-k-1) =&gt;</t>
  </si>
  <si>
    <t>Cohen (1983)</t>
  </si>
  <si>
    <t>SEbdif =</t>
  </si>
  <si>
    <t>Brame, et al (1995)</t>
  </si>
  <si>
    <t>Clogg, et al (1995)</t>
  </si>
  <si>
    <t>Clogg, D. D., Petkova, E., &amp; Haritou, A. (1995). Statistical Methods for Comparing Regression Coefficients Between Models. American Journal of Sociology 
Volume 100, Number 5
Mar., 1995</t>
  </si>
  <si>
    <t>McNemar's Chi-Sq Test</t>
  </si>
  <si>
    <t>Model #2</t>
  </si>
  <si>
    <t>incorrect classification</t>
  </si>
  <si>
    <t>correct classification</t>
  </si>
  <si>
    <t>Model #1</t>
  </si>
  <si>
    <t>McNemar's Chisq =</t>
  </si>
  <si>
    <t xml:space="preserve">w/ Yates's correction = </t>
  </si>
  <si>
    <t>ChiSq Change test for nested models</t>
  </si>
  <si>
    <t>ChiSq from larger model =&gt;</t>
  </si>
  <si>
    <t xml:space="preserve"> # predictors =&gt;</t>
  </si>
  <si>
    <t>ChiSq from smaller model =&gt;</t>
  </si>
  <si>
    <t xml:space="preserve">Chi-Sq Change = </t>
  </si>
  <si>
    <t xml:space="preserve">df = </t>
  </si>
  <si>
    <t>Path Coefficient Calculation</t>
  </si>
  <si>
    <t>Type R-sq for each submodel in the larger model.</t>
  </si>
  <si>
    <t>Type R-sq for each submodel of the smaller model.</t>
  </si>
  <si>
    <t>(leave unused blank)</t>
  </si>
  <si>
    <t>R-sq</t>
  </si>
  <si>
    <t>e</t>
  </si>
  <si>
    <t>Full e-sq</t>
  </si>
  <si>
    <t>Red e-sq</t>
  </si>
  <si>
    <t xml:space="preserve">N = </t>
  </si>
  <si>
    <t>Fit of model =</t>
  </si>
  <si>
    <t xml:space="preserve">Q = </t>
  </si>
  <si>
    <t>W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</si>
</sst>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7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53"/>
      <name val="Arial"/>
      <family val="2"/>
    </font>
    <font>
      <sz val="10"/>
      <name val="Arial"/>
      <family val="2"/>
    </font>
    <font>
      <b/>
      <sz val="12"/>
      <color indexed="53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color rgb="FFFF9933"/>
      <name val="Arial"/>
      <family val="2"/>
    </font>
    <font>
      <b/>
      <sz val="12"/>
      <color rgb="FFFF9933"/>
      <name val="Arial"/>
      <family val="2"/>
    </font>
    <font>
      <b/>
      <sz val="12"/>
      <color rgb="FFFF66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FF9933"/>
      <name val="Calibri"/>
      <family val="2"/>
      <scheme val="minor"/>
    </font>
    <font>
      <b/>
      <sz val="11"/>
      <color rgb="FFFF9933"/>
      <name val="Calibri"/>
      <family val="2"/>
      <scheme val="minor"/>
    </font>
    <font>
      <b/>
      <sz val="12"/>
      <color theme="9"/>
      <name val="Arial"/>
      <family val="2"/>
    </font>
    <font>
      <sz val="10"/>
      <color theme="9"/>
      <name val="Arial"/>
      <family val="2"/>
    </font>
    <font>
      <b/>
      <sz val="11"/>
      <color rgb="FFFF6600"/>
      <name val="Arial"/>
      <family val="2"/>
    </font>
    <font>
      <b/>
      <sz val="14"/>
      <color rgb="FFFF0000"/>
      <name val="Arial"/>
      <family val="2"/>
    </font>
    <font>
      <b/>
      <sz val="10"/>
      <color rgb="FFFF6600"/>
      <name val="Arial"/>
      <family val="2"/>
    </font>
    <font>
      <b/>
      <sz val="11"/>
      <color theme="9"/>
      <name val="Arial"/>
      <family val="2"/>
    </font>
    <font>
      <b/>
      <sz val="11"/>
      <color rgb="FFFFC000"/>
      <name val="Arial"/>
      <family val="2"/>
    </font>
    <font>
      <b/>
      <sz val="10"/>
      <color theme="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right" wrapText="1"/>
    </xf>
    <xf numFmtId="0" fontId="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/>
    <xf numFmtId="164" fontId="7" fillId="0" borderId="0" xfId="0" applyNumberFormat="1" applyFont="1"/>
    <xf numFmtId="164" fontId="4" fillId="0" borderId="0" xfId="0" applyNumberFormat="1" applyFont="1"/>
    <xf numFmtId="0" fontId="5" fillId="0" borderId="0" xfId="0" applyFont="1" applyAlignment="1">
      <alignment horizontal="right" wrapText="1"/>
    </xf>
    <xf numFmtId="164" fontId="5" fillId="0" borderId="0" xfId="0" applyNumberFormat="1" applyFont="1"/>
    <xf numFmtId="0" fontId="7" fillId="0" borderId="1" xfId="0" applyFont="1" applyBorder="1"/>
    <xf numFmtId="0" fontId="8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12" fillId="0" borderId="0" xfId="0" applyFont="1"/>
    <xf numFmtId="0" fontId="12" fillId="0" borderId="0" xfId="0" applyFont="1" applyAlignment="1">
      <alignment horizontal="right"/>
    </xf>
    <xf numFmtId="0" fontId="4" fillId="0" borderId="0" xfId="0" applyFont="1"/>
    <xf numFmtId="0" fontId="9" fillId="0" borderId="0" xfId="0" applyFont="1"/>
    <xf numFmtId="0" fontId="13" fillId="0" borderId="0" xfId="0" applyFont="1" applyAlignment="1">
      <alignment horizontal="right"/>
    </xf>
    <xf numFmtId="164" fontId="14" fillId="0" borderId="0" xfId="0" applyNumberFormat="1" applyFont="1"/>
    <xf numFmtId="0" fontId="14" fillId="0" borderId="0" xfId="0" applyFont="1" applyAlignment="1">
      <alignment horizontal="right"/>
    </xf>
    <xf numFmtId="0" fontId="14" fillId="0" borderId="0" xfId="0" applyFont="1"/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6" fillId="0" borderId="0" xfId="0" applyFont="1"/>
    <xf numFmtId="0" fontId="18" fillId="0" borderId="0" xfId="0" applyFont="1"/>
    <xf numFmtId="0" fontId="17" fillId="0" borderId="0" xfId="0" applyFont="1"/>
    <xf numFmtId="0" fontId="16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19" fillId="0" borderId="0" xfId="0" applyFont="1"/>
    <xf numFmtId="0" fontId="20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165" fontId="6" fillId="0" borderId="0" xfId="0" applyNumberFormat="1" applyFont="1"/>
    <xf numFmtId="2" fontId="5" fillId="0" borderId="0" xfId="0" applyNumberFormat="1" applyFont="1"/>
    <xf numFmtId="0" fontId="9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164" fontId="15" fillId="0" borderId="0" xfId="0" applyNumberFormat="1" applyFont="1"/>
    <xf numFmtId="2" fontId="15" fillId="0" borderId="0" xfId="0" applyNumberFormat="1" applyFont="1"/>
    <xf numFmtId="0" fontId="8" fillId="0" borderId="0" xfId="0" applyFont="1" applyAlignment="1">
      <alignment horizontal="center" wrapText="1"/>
    </xf>
    <xf numFmtId="0" fontId="2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2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9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19" fillId="0" borderId="0" xfId="0" applyFont="1" applyAlignment="1">
      <alignment horizontal="right"/>
    </xf>
    <xf numFmtId="0" fontId="19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11" fillId="0" borderId="0" xfId="0" applyFont="1" applyAlignment="1">
      <alignment horizontal="center" wrapText="1"/>
    </xf>
    <xf numFmtId="0" fontId="26" fillId="0" borderId="0" xfId="0" applyFont="1" applyAlignment="1">
      <alignment horizontal="center"/>
    </xf>
    <xf numFmtId="0" fontId="0" fillId="0" borderId="0" xfId="0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24" fillId="0" borderId="0" xfId="0" applyFont="1" applyAlignment="1"/>
    <xf numFmtId="0" fontId="25" fillId="0" borderId="0" xfId="0" applyFont="1" applyAlignment="1"/>
    <xf numFmtId="0" fontId="4" fillId="0" borderId="0" xfId="0" applyFont="1" applyAlignment="1"/>
    <xf numFmtId="0" fontId="19" fillId="0" borderId="0" xfId="0" applyFont="1" applyAlignment="1"/>
    <xf numFmtId="0" fontId="1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opLeftCell="A4" workbookViewId="0">
      <selection activeCell="D8" sqref="D8"/>
    </sheetView>
  </sheetViews>
  <sheetFormatPr defaultRowHeight="12.75"/>
  <cols>
    <col min="2" max="2" width="16.28515625" style="1" bestFit="1" customWidth="1"/>
    <col min="3" max="3" width="5.42578125" style="1" customWidth="1"/>
    <col min="4" max="4" width="77.42578125" bestFit="1" customWidth="1"/>
  </cols>
  <sheetData>
    <row r="1" spans="1:7" ht="25.5" customHeight="1">
      <c r="A1" s="55" t="s">
        <v>0</v>
      </c>
      <c r="B1" s="55"/>
      <c r="C1" s="56"/>
      <c r="D1" s="56"/>
      <c r="E1" s="56"/>
      <c r="F1" s="56"/>
      <c r="G1" s="56"/>
    </row>
    <row r="2" spans="1:7">
      <c r="D2" s="42" t="s">
        <v>1</v>
      </c>
    </row>
    <row r="3" spans="1:7">
      <c r="A3" s="57" t="s">
        <v>2</v>
      </c>
      <c r="B3" s="57"/>
      <c r="C3" s="56"/>
      <c r="D3" s="56"/>
      <c r="E3" s="56"/>
      <c r="F3" s="56"/>
      <c r="G3" s="56"/>
    </row>
    <row r="4" spans="1:7">
      <c r="A4" s="56" t="s">
        <v>3</v>
      </c>
      <c r="B4" s="56"/>
      <c r="C4" s="56"/>
      <c r="D4" s="56"/>
      <c r="E4" s="56"/>
      <c r="F4" s="56"/>
      <c r="G4" s="56"/>
    </row>
    <row r="5" spans="1:7" ht="13.15">
      <c r="B5" s="43" t="s">
        <v>4</v>
      </c>
      <c r="D5" s="20" t="s">
        <v>5</v>
      </c>
    </row>
    <row r="6" spans="1:7">
      <c r="B6" s="11" t="s">
        <v>6</v>
      </c>
      <c r="D6" s="23" t="s">
        <v>7</v>
      </c>
    </row>
    <row r="7" spans="1:7">
      <c r="B7" s="11" t="s">
        <v>8</v>
      </c>
      <c r="D7" s="23" t="s">
        <v>9</v>
      </c>
    </row>
    <row r="8" spans="1:7">
      <c r="B8" s="11" t="s">
        <v>10</v>
      </c>
      <c r="D8" s="23" t="s">
        <v>11</v>
      </c>
    </row>
    <row r="9" spans="1:7">
      <c r="B9" s="11" t="s">
        <v>12</v>
      </c>
      <c r="D9" s="23" t="s">
        <v>13</v>
      </c>
    </row>
    <row r="10" spans="1:7">
      <c r="B10" s="11" t="s">
        <v>14</v>
      </c>
      <c r="D10" s="23" t="s">
        <v>15</v>
      </c>
    </row>
    <row r="12" spans="1:7">
      <c r="B12" s="1" t="s">
        <v>16</v>
      </c>
      <c r="D12" t="s">
        <v>17</v>
      </c>
    </row>
    <row r="14" spans="1:7">
      <c r="B14" s="11" t="s">
        <v>18</v>
      </c>
      <c r="D14" s="23" t="s">
        <v>19</v>
      </c>
    </row>
    <row r="16" spans="1:7">
      <c r="B16" s="1" t="s">
        <v>20</v>
      </c>
      <c r="D16" s="23" t="s">
        <v>21</v>
      </c>
    </row>
    <row r="17" spans="2:4">
      <c r="B17" s="1" t="s">
        <v>22</v>
      </c>
      <c r="D17" s="23" t="s">
        <v>23</v>
      </c>
    </row>
    <row r="18" spans="2:4">
      <c r="B18" s="1" t="s">
        <v>24</v>
      </c>
      <c r="D18" s="23" t="s">
        <v>25</v>
      </c>
    </row>
    <row r="20" spans="2:4">
      <c r="B20" s="1" t="s">
        <v>26</v>
      </c>
      <c r="D20" s="23" t="s">
        <v>27</v>
      </c>
    </row>
    <row r="22" spans="2:4">
      <c r="B22" s="11" t="s">
        <v>28</v>
      </c>
      <c r="D22" s="23" t="s">
        <v>29</v>
      </c>
    </row>
    <row r="23" spans="2:4">
      <c r="B23" s="1" t="s">
        <v>30</v>
      </c>
      <c r="D23" s="23" t="s">
        <v>31</v>
      </c>
    </row>
    <row r="25" spans="2:4">
      <c r="B25" s="1" t="s">
        <v>32</v>
      </c>
      <c r="D25" s="23" t="s">
        <v>33</v>
      </c>
    </row>
  </sheetData>
  <mergeCells count="3">
    <mergeCell ref="A1:G1"/>
    <mergeCell ref="A3:G3"/>
    <mergeCell ref="A4:G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topLeftCell="A4" workbookViewId="0">
      <selection activeCell="B15" sqref="B15"/>
    </sheetView>
  </sheetViews>
  <sheetFormatPr defaultRowHeight="15"/>
  <cols>
    <col min="1" max="1" width="31.140625" style="3" customWidth="1"/>
    <col min="2" max="2" width="17.7109375" style="2" customWidth="1"/>
  </cols>
  <sheetData>
    <row r="1" spans="1:2">
      <c r="A1" s="58" t="s">
        <v>34</v>
      </c>
      <c r="B1" s="80"/>
    </row>
    <row r="5" spans="1:2">
      <c r="A5" s="4" t="s">
        <v>35</v>
      </c>
      <c r="B5" s="19">
        <v>1.8620000000000001</v>
      </c>
    </row>
    <row r="6" spans="1:2">
      <c r="A6" s="4" t="s">
        <v>36</v>
      </c>
      <c r="B6" s="19">
        <v>3</v>
      </c>
    </row>
    <row r="7" spans="1:2">
      <c r="A7" s="4" t="s">
        <v>37</v>
      </c>
      <c r="B7" s="19">
        <v>92</v>
      </c>
    </row>
    <row r="8" spans="1:2">
      <c r="A8" s="10" t="s">
        <v>38</v>
      </c>
      <c r="B8" s="16">
        <f>SQRT((B5*B6)/((B5*B6)+B7))</f>
        <v>0.23925262271042708</v>
      </c>
    </row>
    <row r="10" spans="1:2">
      <c r="A10" s="4" t="s">
        <v>39</v>
      </c>
      <c r="B10" s="4">
        <v>0.84</v>
      </c>
    </row>
    <row r="11" spans="1:2">
      <c r="A11" s="4" t="s">
        <v>37</v>
      </c>
      <c r="B11" s="4">
        <v>101</v>
      </c>
    </row>
    <row r="12" spans="1:2">
      <c r="A12" s="10" t="s">
        <v>38</v>
      </c>
      <c r="B12" s="16">
        <f>SQRT((B10*B10)/((B10*B10)+B11))</f>
        <v>8.3292683244238094E-2</v>
      </c>
    </row>
    <row r="13" spans="1:2">
      <c r="A13" s="9"/>
    </row>
    <row r="14" spans="1:2">
      <c r="A14" s="4" t="s">
        <v>40</v>
      </c>
      <c r="B14" s="19">
        <v>0.97</v>
      </c>
    </row>
    <row r="15" spans="1:2">
      <c r="A15" s="10" t="s">
        <v>38</v>
      </c>
      <c r="B15" s="52">
        <f>SQRT( (B14*B14) / (4+(B14*B14)))</f>
        <v>0.43638388278798418</v>
      </c>
    </row>
    <row r="16" spans="1:2">
      <c r="A16" s="9"/>
    </row>
    <row r="17" spans="1:8">
      <c r="A17" s="43"/>
      <c r="B17" s="19"/>
      <c r="C17" s="20"/>
      <c r="D17" s="20"/>
    </row>
    <row r="18" spans="1:8">
      <c r="A18" s="4"/>
      <c r="B18" s="4"/>
      <c r="C18" s="20"/>
      <c r="D18" s="20"/>
    </row>
    <row r="19" spans="1:8">
      <c r="A19" s="4"/>
      <c r="B19" s="29"/>
      <c r="C19" s="20"/>
      <c r="D19" s="20"/>
      <c r="G19">
        <f xml:space="preserve"> C18-D18</f>
        <v>0</v>
      </c>
      <c r="H19" s="23" t="s">
        <v>41</v>
      </c>
    </row>
    <row r="20" spans="1:8">
      <c r="A20" s="4"/>
      <c r="B20" s="29"/>
      <c r="C20" s="20"/>
      <c r="D20" s="20"/>
      <c r="G20">
        <f xml:space="preserve"> ( (C19*C19) * (C20-1) ) + ( (D19*D19) * (D20-1) )</f>
        <v>0</v>
      </c>
      <c r="H20" s="23" t="s">
        <v>42</v>
      </c>
    </row>
    <row r="21" spans="1:8">
      <c r="A21" s="4"/>
      <c r="B21" s="4"/>
      <c r="C21" s="20"/>
      <c r="D21" s="20"/>
      <c r="G21">
        <f>C20+D20-2</f>
        <v>-2</v>
      </c>
      <c r="H21" s="23" t="s">
        <v>43</v>
      </c>
    </row>
    <row r="22" spans="1:8">
      <c r="A22" s="4"/>
      <c r="B22" s="32"/>
      <c r="C22" s="20"/>
      <c r="D22" s="20"/>
      <c r="G22" s="23">
        <f>SQRT(G20/G21)</f>
        <v>0</v>
      </c>
      <c r="H22" s="23" t="s">
        <v>44</v>
      </c>
    </row>
  </sheetData>
  <mergeCells count="1">
    <mergeCell ref="A1:B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tabSelected="1" topLeftCell="A16" workbookViewId="0">
      <selection activeCell="B30" sqref="B30"/>
    </sheetView>
  </sheetViews>
  <sheetFormatPr defaultRowHeight="12.75"/>
  <cols>
    <col min="1" max="1" width="22.7109375" customWidth="1"/>
    <col min="2" max="2" width="13.42578125" customWidth="1"/>
    <col min="4" max="4" width="9.7109375" customWidth="1"/>
  </cols>
  <sheetData>
    <row r="1" spans="1:8" ht="15">
      <c r="A1" s="58" t="s">
        <v>45</v>
      </c>
      <c r="B1" s="58"/>
      <c r="C1" s="58"/>
      <c r="D1" s="58"/>
    </row>
    <row r="4" spans="1:8" ht="15">
      <c r="A4" s="4" t="s">
        <v>35</v>
      </c>
      <c r="B4" s="19">
        <v>4.93</v>
      </c>
    </row>
    <row r="5" spans="1:8" ht="15">
      <c r="A5" s="4" t="s">
        <v>46</v>
      </c>
      <c r="B5" s="19">
        <v>10</v>
      </c>
    </row>
    <row r="6" spans="1:8" ht="15">
      <c r="A6" s="4" t="s">
        <v>47</v>
      </c>
      <c r="B6" s="19">
        <v>11</v>
      </c>
    </row>
    <row r="7" spans="1:8" ht="15">
      <c r="A7" s="10" t="s">
        <v>48</v>
      </c>
      <c r="B7" s="16">
        <f>SQRT( (B4*(B5+B6) ) / (B5*B6) )</f>
        <v>0.97014525622806513</v>
      </c>
    </row>
    <row r="8" spans="1:8" ht="15">
      <c r="A8" s="10"/>
      <c r="B8" s="16"/>
    </row>
    <row r="10" spans="1:8" ht="15">
      <c r="A10" s="4" t="s">
        <v>39</v>
      </c>
      <c r="B10" s="19">
        <v>2.2200000000000002</v>
      </c>
    </row>
    <row r="11" spans="1:8" ht="15">
      <c r="A11" s="4" t="s">
        <v>46</v>
      </c>
      <c r="B11" s="19">
        <v>10</v>
      </c>
    </row>
    <row r="12" spans="1:8" ht="15">
      <c r="A12" s="4" t="s">
        <v>47</v>
      </c>
      <c r="B12" s="19">
        <v>11</v>
      </c>
    </row>
    <row r="13" spans="1:8" ht="15">
      <c r="A13" s="10" t="s">
        <v>48</v>
      </c>
      <c r="B13" s="16">
        <f xml:space="preserve">  B10* SQRT( ((B11+B12) ) / (B11*B12) )</f>
        <v>0.96998781623088637</v>
      </c>
      <c r="D13" s="23" t="s">
        <v>49</v>
      </c>
    </row>
    <row r="14" spans="1:8" ht="15">
      <c r="A14" s="10"/>
      <c r="B14" s="16"/>
      <c r="D14" s="23"/>
    </row>
    <row r="16" spans="1:8" ht="15">
      <c r="A16" s="4"/>
      <c r="B16" s="19"/>
      <c r="C16" s="29" t="s">
        <v>50</v>
      </c>
      <c r="D16" s="29" t="s">
        <v>51</v>
      </c>
      <c r="G16">
        <f xml:space="preserve"> C17-D17</f>
        <v>-1.7799999999999994</v>
      </c>
      <c r="H16" s="23" t="s">
        <v>41</v>
      </c>
    </row>
    <row r="17" spans="1:8" ht="15">
      <c r="A17" s="4" t="s">
        <v>52</v>
      </c>
      <c r="B17" s="4" t="s">
        <v>53</v>
      </c>
      <c r="C17" s="19">
        <v>5.4</v>
      </c>
      <c r="D17" s="19">
        <v>7.18</v>
      </c>
      <c r="G17">
        <f xml:space="preserve"> ( (C18*C18) * (C19-1) ) + ( (D18*D18) * (D19-1) )</f>
        <v>63.952899999999993</v>
      </c>
      <c r="H17" s="23" t="s">
        <v>42</v>
      </c>
    </row>
    <row r="18" spans="1:8" ht="15">
      <c r="A18" s="4"/>
      <c r="B18" s="4" t="s">
        <v>54</v>
      </c>
      <c r="C18" s="19">
        <v>1.71</v>
      </c>
      <c r="D18" s="19">
        <v>1.94</v>
      </c>
      <c r="G18">
        <f>C19+D19-2</f>
        <v>19</v>
      </c>
      <c r="H18" s="23" t="s">
        <v>43</v>
      </c>
    </row>
    <row r="19" spans="1:8" ht="15">
      <c r="A19" s="4"/>
      <c r="B19" s="4" t="s">
        <v>55</v>
      </c>
      <c r="C19" s="19">
        <v>10</v>
      </c>
      <c r="D19" s="19">
        <v>11</v>
      </c>
      <c r="G19" s="23">
        <f>SQRT(G17/G18)</f>
        <v>1.8346504040996905</v>
      </c>
      <c r="H19" s="23" t="s">
        <v>44</v>
      </c>
    </row>
    <row r="20" spans="1:8" ht="15">
      <c r="A20" s="4"/>
      <c r="B20" s="32" t="s">
        <v>56</v>
      </c>
      <c r="C20" s="52">
        <f xml:space="preserve"> ABS(G16/G19)</f>
        <v>0.97021208837521855</v>
      </c>
      <c r="D20" s="20"/>
    </row>
    <row r="21" spans="1:8" ht="15">
      <c r="A21" s="4"/>
      <c r="B21" s="32"/>
      <c r="C21" s="20"/>
      <c r="D21" s="20"/>
    </row>
    <row r="22" spans="1:8" ht="15">
      <c r="A22" s="4"/>
      <c r="B22" s="19"/>
      <c r="C22" s="29" t="s">
        <v>50</v>
      </c>
      <c r="D22" s="29" t="s">
        <v>51</v>
      </c>
    </row>
    <row r="23" spans="1:8" ht="15">
      <c r="A23" s="4" t="s">
        <v>52</v>
      </c>
      <c r="B23" s="4" t="s">
        <v>53</v>
      </c>
      <c r="C23" s="19">
        <v>3.8</v>
      </c>
      <c r="D23" s="19">
        <v>6.4</v>
      </c>
    </row>
    <row r="25" spans="1:8" ht="15">
      <c r="B25" s="4" t="s">
        <v>57</v>
      </c>
      <c r="C25" s="19">
        <v>2.27</v>
      </c>
    </row>
    <row r="26" spans="1:8" ht="15">
      <c r="B26" s="32" t="s">
        <v>56</v>
      </c>
      <c r="C26" s="52">
        <f xml:space="preserve"> ABS( (C17-D17) / SQRT(C25) )</f>
        <v>1.1814274946479497</v>
      </c>
    </row>
    <row r="29" spans="1:8" ht="15">
      <c r="A29" s="4" t="s">
        <v>58</v>
      </c>
      <c r="B29" s="19">
        <v>0.35</v>
      </c>
    </row>
    <row r="30" spans="1:8" ht="15">
      <c r="A30" s="10" t="s">
        <v>48</v>
      </c>
      <c r="B30" s="52">
        <f xml:space="preserve"> (2*B29 ) / (1- (B29*B29))</f>
        <v>0.79772079772079763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>
      <selection activeCell="A15" sqref="A15"/>
    </sheetView>
  </sheetViews>
  <sheetFormatPr defaultRowHeight="15"/>
  <cols>
    <col min="1" max="1" width="40" style="10" customWidth="1"/>
    <col min="2" max="2" width="15.42578125" customWidth="1"/>
  </cols>
  <sheetData>
    <row r="1" spans="1:7" ht="13.15">
      <c r="A1" s="59" t="s">
        <v>59</v>
      </c>
      <c r="B1" s="56"/>
      <c r="F1" s="11" t="s">
        <v>60</v>
      </c>
    </row>
    <row r="2" spans="1:7">
      <c r="F2" s="11"/>
    </row>
    <row r="3" spans="1:7">
      <c r="F3" s="11" t="s">
        <v>61</v>
      </c>
    </row>
    <row r="4" spans="1:7">
      <c r="F4" s="11" t="s">
        <v>62</v>
      </c>
    </row>
    <row r="5" spans="1:7">
      <c r="A5" s="4" t="s">
        <v>63</v>
      </c>
      <c r="B5" s="18" t="s">
        <v>61</v>
      </c>
      <c r="F5" s="1" t="s">
        <v>64</v>
      </c>
      <c r="G5">
        <f xml:space="preserve"> (B6-B7)/ SQRT(B8)</f>
        <v>-0.96995402510160778</v>
      </c>
    </row>
    <row r="6" spans="1:7">
      <c r="A6" s="4" t="s">
        <v>65</v>
      </c>
      <c r="B6" s="19">
        <v>5.4</v>
      </c>
      <c r="F6" s="1" t="s">
        <v>66</v>
      </c>
      <c r="G6">
        <f>G5*G5</f>
        <v>0.94081081081081042</v>
      </c>
    </row>
    <row r="7" spans="1:7">
      <c r="A7" s="4" t="s">
        <v>67</v>
      </c>
      <c r="B7" s="19">
        <v>7.17</v>
      </c>
      <c r="F7" s="1" t="s">
        <v>68</v>
      </c>
      <c r="G7">
        <f>G5*SQRT(2)</f>
        <v>-1.3717221371770674</v>
      </c>
    </row>
    <row r="8" spans="1:7">
      <c r="A8" s="4" t="s">
        <v>69</v>
      </c>
      <c r="B8" s="19">
        <v>3.33</v>
      </c>
      <c r="F8" s="1" t="s">
        <v>70</v>
      </c>
      <c r="G8">
        <f>G7*G7</f>
        <v>1.8816216216216213</v>
      </c>
    </row>
    <row r="9" spans="1:7">
      <c r="F9" s="11" t="s">
        <v>71</v>
      </c>
      <c r="G9" s="14">
        <f xml:space="preserve"> SQRT(G6/(G6+4))</f>
        <v>0.43636713808097466</v>
      </c>
    </row>
    <row r="10" spans="1:7">
      <c r="A10" s="10" t="s">
        <v>72</v>
      </c>
      <c r="B10" s="16">
        <f>IF(B5="Between Groups",G9, IF(B5="Within-Groups",G10))</f>
        <v>0.43636713808097466</v>
      </c>
      <c r="F10" s="11" t="s">
        <v>73</v>
      </c>
      <c r="G10" s="14">
        <f xml:space="preserve"> SQRT(G8/(G8+4))</f>
        <v>0.56561068673399995</v>
      </c>
    </row>
    <row r="11" spans="1:7">
      <c r="A11" s="10" t="s">
        <v>74</v>
      </c>
      <c r="B11" s="52">
        <f xml:space="preserve"> ABS( (B6-B7) / SQRT(B8) )</f>
        <v>0.96995402510160778</v>
      </c>
    </row>
    <row r="13" spans="1:7">
      <c r="A13" s="4"/>
      <c r="B13" s="19"/>
      <c r="C13" s="19"/>
      <c r="D13" s="19"/>
    </row>
    <row r="14" spans="1:7" ht="13.9">
      <c r="A14" s="50" t="s">
        <v>75</v>
      </c>
      <c r="B14" s="24">
        <v>5.4</v>
      </c>
      <c r="F14">
        <f xml:space="preserve"> (B14*B14*B15) + (B16*B16*B17)</f>
        <v>857.09789999999998</v>
      </c>
    </row>
    <row r="15" spans="1:7" ht="13.9">
      <c r="A15" s="50" t="s">
        <v>76</v>
      </c>
      <c r="B15" s="24">
        <v>10</v>
      </c>
      <c r="F15">
        <f>((B14*B15)+(B16*B17))^2</f>
        <v>17654.436900000001</v>
      </c>
    </row>
    <row r="16" spans="1:7" ht="13.9">
      <c r="A16" s="50" t="s">
        <v>77</v>
      </c>
      <c r="B16" s="24">
        <v>7.17</v>
      </c>
      <c r="F16">
        <f>B15+B17</f>
        <v>21</v>
      </c>
      <c r="G16" s="23" t="s">
        <v>78</v>
      </c>
    </row>
    <row r="17" spans="1:7" ht="13.9">
      <c r="A17" s="50" t="s">
        <v>79</v>
      </c>
      <c r="B17" s="24">
        <v>11</v>
      </c>
      <c r="F17">
        <f xml:space="preserve"> F14 - (F15/F16)</f>
        <v>16.410428571428497</v>
      </c>
      <c r="G17" s="23" t="s">
        <v>80</v>
      </c>
    </row>
    <row r="18" spans="1:7" ht="13.9">
      <c r="A18" s="50" t="s">
        <v>81</v>
      </c>
      <c r="B18" s="24">
        <v>4.93</v>
      </c>
    </row>
    <row r="19" spans="1:7" ht="12.75">
      <c r="A19" s="1"/>
    </row>
    <row r="20" spans="1:7">
      <c r="A20" s="32" t="s">
        <v>82</v>
      </c>
      <c r="B20" s="52">
        <f xml:space="preserve"> F17/B18</f>
        <v>3.328687337003752</v>
      </c>
    </row>
    <row r="21" spans="1:7" ht="12.75">
      <c r="A21"/>
    </row>
  </sheetData>
  <mergeCells count="1">
    <mergeCell ref="A1:B1"/>
  </mergeCells>
  <phoneticPr fontId="2" type="noConversion"/>
  <dataValidations count="1">
    <dataValidation type="list" showInputMessage="1" showErrorMessage="1" sqref="B5" xr:uid="{00000000-0002-0000-0300-000000000000}">
      <formula1>$F$3:$F$4</formula1>
    </dataValidation>
  </dataValidations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>
      <selection activeCell="E6" sqref="E6"/>
    </sheetView>
  </sheetViews>
  <sheetFormatPr defaultRowHeight="12.75"/>
  <cols>
    <col min="1" max="1" width="32.5703125" customWidth="1"/>
  </cols>
  <sheetData>
    <row r="1" spans="1:2" ht="15">
      <c r="A1" s="58" t="s">
        <v>83</v>
      </c>
      <c r="B1" s="56"/>
    </row>
    <row r="2" spans="1:2" ht="15">
      <c r="A2" s="12"/>
    </row>
    <row r="3" spans="1:2" ht="15">
      <c r="A3" s="12"/>
    </row>
    <row r="5" spans="1:2" ht="15">
      <c r="A5" s="4" t="s">
        <v>84</v>
      </c>
      <c r="B5" s="13">
        <v>4.8499999999999996</v>
      </c>
    </row>
    <row r="6" spans="1:2" ht="15">
      <c r="A6" s="4" t="s">
        <v>85</v>
      </c>
      <c r="B6" s="19">
        <v>1</v>
      </c>
    </row>
    <row r="7" spans="1:2" ht="15">
      <c r="A7" s="4" t="s">
        <v>86</v>
      </c>
      <c r="B7" s="19">
        <v>80</v>
      </c>
    </row>
    <row r="10" spans="1:2" ht="15">
      <c r="A10" s="10" t="s">
        <v>72</v>
      </c>
      <c r="B10" s="16">
        <f xml:space="preserve"> IF(B6=1,SQRT(B5/B7), IF(B6&gt;1, SQRT(B5/(B5+B7))))</f>
        <v>0.24622144504490262</v>
      </c>
    </row>
  </sheetData>
  <mergeCells count="1">
    <mergeCell ref="A1:B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6"/>
  <sheetViews>
    <sheetView workbookViewId="0">
      <selection activeCell="E22" sqref="E22"/>
    </sheetView>
  </sheetViews>
  <sheetFormatPr defaultRowHeight="12.75"/>
  <cols>
    <col min="1" max="1" width="12.140625" customWidth="1"/>
    <col min="2" max="2" width="17" customWidth="1"/>
    <col min="3" max="3" width="12" customWidth="1"/>
    <col min="4" max="4" width="11.85546875" customWidth="1"/>
    <col min="5" max="5" width="13.42578125" customWidth="1"/>
  </cols>
  <sheetData>
    <row r="1" spans="1:7" ht="15">
      <c r="A1" s="81" t="s">
        <v>87</v>
      </c>
      <c r="B1" s="82"/>
      <c r="C1" s="82"/>
      <c r="D1" s="82"/>
      <c r="E1" s="82"/>
      <c r="F1" s="80"/>
      <c r="G1" s="80"/>
    </row>
    <row r="2" spans="1:7" ht="13.15" thickBot="1"/>
    <row r="3" spans="1:7" ht="15.75" thickTop="1" thickBot="1">
      <c r="A3" s="62" t="s">
        <v>88</v>
      </c>
      <c r="B3" s="63"/>
      <c r="C3" s="17">
        <v>45</v>
      </c>
      <c r="D3" s="17">
        <v>40</v>
      </c>
    </row>
    <row r="4" spans="1:7" ht="15.75" thickTop="1" thickBot="1">
      <c r="A4" s="62"/>
      <c r="B4" s="63"/>
      <c r="C4" s="17">
        <v>15</v>
      </c>
      <c r="D4" s="17">
        <v>10</v>
      </c>
    </row>
    <row r="5" spans="1:7" ht="13.15" thickTop="1"/>
    <row r="7" spans="1:7" ht="15">
      <c r="B7" s="60" t="s">
        <v>89</v>
      </c>
      <c r="C7" s="61"/>
      <c r="D7" s="16">
        <f xml:space="preserve"> (B35*B36*B36) / ((C3+C4)*(D3+D4)*(C3+D3)*(C4+D4))</f>
        <v>0.38823529411764707</v>
      </c>
    </row>
    <row r="8" spans="1:7" ht="13.9">
      <c r="C8" s="22" t="s">
        <v>90</v>
      </c>
      <c r="D8" s="21">
        <f xml:space="preserve"> CHIDIST(D7,1)</f>
        <v>0.53322846755247921</v>
      </c>
    </row>
    <row r="9" spans="1:7" ht="15">
      <c r="C9" s="10" t="s">
        <v>72</v>
      </c>
      <c r="D9" s="16">
        <f xml:space="preserve"> SQRT(D7/B35)</f>
        <v>5.9408852578600457E-2</v>
      </c>
    </row>
    <row r="12" spans="1:7" ht="27.75" customHeight="1">
      <c r="A12" s="64" t="s">
        <v>91</v>
      </c>
      <c r="B12" s="65"/>
      <c r="C12" s="65"/>
    </row>
    <row r="13" spans="1:7" ht="30.75" customHeight="1">
      <c r="A13" s="54" t="s">
        <v>92</v>
      </c>
      <c r="B13" s="54" t="s">
        <v>93</v>
      </c>
      <c r="C13" s="54" t="s">
        <v>94</v>
      </c>
    </row>
    <row r="14" spans="1:7">
      <c r="A14">
        <v>2</v>
      </c>
      <c r="B14">
        <v>1</v>
      </c>
      <c r="C14">
        <v>0.05</v>
      </c>
    </row>
    <row r="15" spans="1:7">
      <c r="A15" s="23" t="s">
        <v>49</v>
      </c>
      <c r="B15">
        <v>2</v>
      </c>
      <c r="C15">
        <v>2.5000000000000001E-2</v>
      </c>
    </row>
    <row r="16" spans="1:7">
      <c r="A16">
        <v>3</v>
      </c>
      <c r="B16">
        <v>3</v>
      </c>
      <c r="C16">
        <v>1.67E-2</v>
      </c>
    </row>
    <row r="17" spans="1:3">
      <c r="A17" s="23" t="s">
        <v>49</v>
      </c>
      <c r="B17">
        <v>4</v>
      </c>
      <c r="C17">
        <v>1.2500000000000001E-2</v>
      </c>
    </row>
    <row r="18" spans="1:3">
      <c r="A18" s="23" t="s">
        <v>49</v>
      </c>
      <c r="B18">
        <v>5</v>
      </c>
      <c r="C18">
        <v>0.01</v>
      </c>
    </row>
    <row r="19" spans="1:3">
      <c r="A19">
        <v>4</v>
      </c>
      <c r="B19">
        <v>6</v>
      </c>
      <c r="C19">
        <v>8.3000000000000001E-3</v>
      </c>
    </row>
    <row r="20" spans="1:3">
      <c r="A20">
        <v>5</v>
      </c>
      <c r="B20">
        <v>10</v>
      </c>
      <c r="C20">
        <v>5.0000000000000001E-3</v>
      </c>
    </row>
    <row r="21" spans="1:3">
      <c r="A21">
        <v>6</v>
      </c>
      <c r="B21">
        <v>15</v>
      </c>
      <c r="C21">
        <v>3.3E-3</v>
      </c>
    </row>
    <row r="30" spans="1:3">
      <c r="A30" s="80" t="s">
        <v>95</v>
      </c>
      <c r="B30" s="80"/>
    </row>
    <row r="31" spans="1:3">
      <c r="A31" t="s">
        <v>96</v>
      </c>
      <c r="B31">
        <f>C3</f>
        <v>45</v>
      </c>
    </row>
    <row r="32" spans="1:3">
      <c r="A32" t="s">
        <v>97</v>
      </c>
      <c r="B32">
        <f xml:space="preserve"> D3</f>
        <v>40</v>
      </c>
    </row>
    <row r="33" spans="1:3">
      <c r="A33" t="s">
        <v>98</v>
      </c>
      <c r="B33">
        <f>C4</f>
        <v>15</v>
      </c>
      <c r="C33" s="1"/>
    </row>
    <row r="34" spans="1:3">
      <c r="A34" t="s">
        <v>99</v>
      </c>
      <c r="B34">
        <f>D4</f>
        <v>10</v>
      </c>
    </row>
    <row r="35" spans="1:3">
      <c r="A35" t="s">
        <v>100</v>
      </c>
      <c r="B35">
        <f>C3+D3+C4+D4</f>
        <v>110</v>
      </c>
    </row>
    <row r="36" spans="1:3">
      <c r="A36" t="s">
        <v>101</v>
      </c>
      <c r="B36">
        <f>(C3*D4)-(D3*C4)</f>
        <v>-150</v>
      </c>
    </row>
  </sheetData>
  <mergeCells count="5">
    <mergeCell ref="A1:G1"/>
    <mergeCell ref="B7:C7"/>
    <mergeCell ref="A3:B4"/>
    <mergeCell ref="A30:B30"/>
    <mergeCell ref="A12:C12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"/>
  <sheetViews>
    <sheetView workbookViewId="0">
      <selection activeCell="H16" sqref="H16"/>
    </sheetView>
  </sheetViews>
  <sheetFormatPr defaultRowHeight="12.75"/>
  <cols>
    <col min="5" max="5" width="11.28515625" customWidth="1"/>
    <col min="6" max="6" width="7.28515625" customWidth="1"/>
    <col min="7" max="7" width="12" customWidth="1"/>
  </cols>
  <sheetData>
    <row r="1" spans="1:10" ht="15">
      <c r="A1" s="66" t="s">
        <v>102</v>
      </c>
      <c r="B1" s="56"/>
      <c r="C1" s="56"/>
      <c r="D1" s="56"/>
    </row>
    <row r="3" spans="1:10" ht="13.15" thickBot="1"/>
    <row r="4" spans="1:10" ht="15.75" customHeight="1" thickTop="1" thickBot="1">
      <c r="B4" s="67" t="s">
        <v>103</v>
      </c>
      <c r="C4" s="61"/>
      <c r="D4" s="61"/>
      <c r="E4" s="47">
        <v>30</v>
      </c>
      <c r="G4" s="46">
        <v>33</v>
      </c>
      <c r="H4" s="68" t="s">
        <v>104</v>
      </c>
      <c r="I4" s="56"/>
      <c r="J4" s="56"/>
    </row>
    <row r="5" spans="1:10" ht="13.15" thickTop="1"/>
    <row r="7" spans="1:10" ht="15">
      <c r="B7" s="69" t="s">
        <v>105</v>
      </c>
      <c r="C7" s="61"/>
      <c r="D7" s="61"/>
      <c r="E7" s="44">
        <f xml:space="preserve"> E4 - (1.5 * (G4-E4))</f>
        <v>25.5</v>
      </c>
      <c r="G7" s="44">
        <f xml:space="preserve"> G4 + (1.5 * (G4-E4))</f>
        <v>37.5</v>
      </c>
      <c r="H7" s="70" t="s">
        <v>106</v>
      </c>
      <c r="I7" s="70"/>
      <c r="J7" s="70"/>
    </row>
  </sheetData>
  <mergeCells count="5">
    <mergeCell ref="A1:D1"/>
    <mergeCell ref="B4:D4"/>
    <mergeCell ref="H4:J4"/>
    <mergeCell ref="B7:D7"/>
    <mergeCell ref="H7:J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7"/>
  <sheetViews>
    <sheetView workbookViewId="0">
      <selection activeCell="B6" sqref="B6"/>
    </sheetView>
  </sheetViews>
  <sheetFormatPr defaultRowHeight="12.75"/>
  <cols>
    <col min="1" max="1" width="42.28515625" style="7" customWidth="1"/>
    <col min="6" max="6" width="11.140625" bestFit="1" customWidth="1"/>
    <col min="7" max="10" width="8.28515625" bestFit="1" customWidth="1"/>
  </cols>
  <sheetData>
    <row r="1" spans="1:10" ht="15">
      <c r="A1" s="59" t="s">
        <v>107</v>
      </c>
      <c r="B1" s="80"/>
      <c r="C1" s="2"/>
      <c r="D1" s="2"/>
      <c r="E1" s="2"/>
      <c r="F1" s="2"/>
      <c r="G1" s="83" t="s">
        <v>108</v>
      </c>
      <c r="H1" s="83"/>
      <c r="I1" s="83"/>
      <c r="J1" s="83"/>
    </row>
    <row r="2" spans="1:10" ht="15">
      <c r="A2" s="5"/>
      <c r="B2" s="2"/>
      <c r="C2" s="2"/>
      <c r="D2" s="2"/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</row>
    <row r="3" spans="1:10" ht="15">
      <c r="A3" s="6" t="s">
        <v>115</v>
      </c>
      <c r="B3" s="19">
        <v>4</v>
      </c>
      <c r="C3" s="2"/>
      <c r="D3" s="2"/>
      <c r="E3" s="2">
        <v>5</v>
      </c>
      <c r="F3" s="48">
        <v>2.57</v>
      </c>
      <c r="G3" s="48">
        <v>4.5999999999999996</v>
      </c>
      <c r="H3" s="48">
        <v>5.22</v>
      </c>
      <c r="I3" s="48">
        <v>5.67</v>
      </c>
      <c r="J3" s="48">
        <v>6.03</v>
      </c>
    </row>
    <row r="4" spans="1:10" ht="27" customHeight="1">
      <c r="A4" s="6" t="s">
        <v>116</v>
      </c>
      <c r="B4" s="19">
        <v>24</v>
      </c>
      <c r="C4" s="2"/>
      <c r="D4" s="2"/>
      <c r="E4" s="2">
        <v>10</v>
      </c>
      <c r="F4" s="48">
        <v>2.23</v>
      </c>
      <c r="G4" s="48">
        <v>3.88</v>
      </c>
      <c r="H4" s="48">
        <v>4.33</v>
      </c>
      <c r="I4" s="48">
        <v>4.6500000000000004</v>
      </c>
      <c r="J4" s="48">
        <v>4.91</v>
      </c>
    </row>
    <row r="5" spans="1:10" ht="16.5" customHeight="1">
      <c r="A5" s="6" t="s">
        <v>69</v>
      </c>
      <c r="B5" s="19">
        <v>0.24099999999999999</v>
      </c>
      <c r="C5" s="2"/>
      <c r="D5" s="2"/>
      <c r="E5" s="2">
        <v>15</v>
      </c>
      <c r="F5" s="48">
        <v>2.13</v>
      </c>
      <c r="G5" s="48">
        <v>3.67</v>
      </c>
      <c r="H5" s="48">
        <v>4.08</v>
      </c>
      <c r="I5" s="48">
        <v>4.37</v>
      </c>
      <c r="J5" s="48">
        <v>4.59</v>
      </c>
    </row>
    <row r="6" spans="1:10" ht="27.75" customHeight="1">
      <c r="A6" s="6" t="s">
        <v>117</v>
      </c>
      <c r="B6" s="19">
        <v>90</v>
      </c>
      <c r="C6" s="2"/>
      <c r="D6" s="2"/>
      <c r="E6" s="2">
        <v>20</v>
      </c>
      <c r="F6" s="48">
        <v>2.09</v>
      </c>
      <c r="G6" s="48">
        <v>3.58</v>
      </c>
      <c r="H6" s="48">
        <v>3.96</v>
      </c>
      <c r="I6" s="48">
        <v>4.2300000000000004</v>
      </c>
      <c r="J6" s="48">
        <v>4.45</v>
      </c>
    </row>
    <row r="7" spans="1:10" ht="15">
      <c r="A7" s="5"/>
      <c r="B7" s="2"/>
      <c r="C7" s="2"/>
      <c r="D7" s="2"/>
      <c r="E7" s="2">
        <v>25</v>
      </c>
      <c r="F7" s="48">
        <v>2.06</v>
      </c>
      <c r="G7" s="48">
        <v>3.52</v>
      </c>
      <c r="H7" s="48">
        <v>3.89</v>
      </c>
      <c r="I7" s="48">
        <v>4.1500000000000004</v>
      </c>
      <c r="J7" s="48">
        <v>4.3600000000000003</v>
      </c>
    </row>
    <row r="8" spans="1:10" ht="15">
      <c r="A8" s="5"/>
      <c r="B8" s="2"/>
      <c r="C8" s="2"/>
      <c r="D8" s="2"/>
      <c r="E8" s="2">
        <v>30</v>
      </c>
      <c r="F8" s="48">
        <v>2.04</v>
      </c>
      <c r="G8" s="48">
        <v>3.49</v>
      </c>
      <c r="H8" s="48">
        <v>3.85</v>
      </c>
      <c r="I8" s="48">
        <v>4.0999999999999996</v>
      </c>
      <c r="J8" s="48">
        <v>4.3</v>
      </c>
    </row>
    <row r="9" spans="1:10" ht="15">
      <c r="C9" s="2"/>
      <c r="D9" s="2"/>
      <c r="E9" s="2">
        <v>35</v>
      </c>
      <c r="F9" s="48">
        <v>2.0299999999999998</v>
      </c>
      <c r="G9" s="48">
        <v>3.47</v>
      </c>
      <c r="H9" s="48">
        <v>3.83</v>
      </c>
      <c r="I9" s="48">
        <v>4.08</v>
      </c>
      <c r="J9" s="48">
        <v>4.28</v>
      </c>
    </row>
    <row r="10" spans="1:10" ht="15">
      <c r="A10" s="15" t="s">
        <v>118</v>
      </c>
      <c r="B10" s="49">
        <f>(TINV(0.05,B6) * SQRT(2*B5)/SQRT(B4))</f>
        <v>0.28154292909696904</v>
      </c>
      <c r="C10" s="2"/>
      <c r="D10" s="2"/>
      <c r="E10" s="2">
        <v>40</v>
      </c>
      <c r="F10" s="48">
        <v>2.02</v>
      </c>
      <c r="G10" s="48">
        <v>3.44</v>
      </c>
      <c r="H10" s="48">
        <v>3.79</v>
      </c>
      <c r="I10" s="48">
        <v>4.04</v>
      </c>
      <c r="J10" s="48">
        <v>4.2300000000000004</v>
      </c>
    </row>
    <row r="11" spans="1:10" ht="15">
      <c r="A11" s="15" t="s">
        <v>119</v>
      </c>
      <c r="B11" s="49">
        <f xml:space="preserve"> VLOOKUP(B6,E3:J16,B3) * (SQRT(B5) / SQRT(B4))</f>
        <v>0.37177211321812009</v>
      </c>
      <c r="C11" s="2"/>
      <c r="D11" s="2"/>
      <c r="E11" s="2">
        <v>50</v>
      </c>
      <c r="F11" s="48">
        <v>2.0099999999999998</v>
      </c>
      <c r="G11" s="48">
        <v>3.42</v>
      </c>
      <c r="H11" s="48">
        <v>3.76</v>
      </c>
      <c r="I11" s="48">
        <v>4.01</v>
      </c>
      <c r="J11" s="48">
        <v>4.2</v>
      </c>
    </row>
    <row r="12" spans="1:10" ht="15">
      <c r="E12" s="2">
        <v>60</v>
      </c>
      <c r="F12" s="48">
        <v>2</v>
      </c>
      <c r="G12" s="48">
        <v>3.4</v>
      </c>
      <c r="H12" s="48">
        <v>3.74</v>
      </c>
      <c r="I12" s="48">
        <v>3.98</v>
      </c>
      <c r="J12" s="48">
        <v>4.16</v>
      </c>
    </row>
    <row r="13" spans="1:10" ht="15">
      <c r="A13" s="8"/>
      <c r="E13" s="2">
        <v>90</v>
      </c>
      <c r="F13" s="48">
        <v>2.0099999999999998</v>
      </c>
      <c r="G13" s="48">
        <v>3.37</v>
      </c>
      <c r="H13" s="48">
        <v>3.71</v>
      </c>
      <c r="I13" s="48">
        <v>3.95</v>
      </c>
      <c r="J13" s="48">
        <v>4.13</v>
      </c>
    </row>
    <row r="14" spans="1:10" ht="15">
      <c r="A14" s="8"/>
      <c r="E14" s="2">
        <v>120</v>
      </c>
      <c r="F14" s="48">
        <v>1.98</v>
      </c>
      <c r="G14" s="48">
        <v>3.36</v>
      </c>
      <c r="H14" s="48">
        <v>3.68</v>
      </c>
      <c r="I14" s="48">
        <v>3.92</v>
      </c>
      <c r="J14" s="48">
        <v>4.0999999999999996</v>
      </c>
    </row>
    <row r="15" spans="1:10" ht="15">
      <c r="A15" s="8"/>
      <c r="E15" s="2">
        <v>200</v>
      </c>
      <c r="F15" s="48">
        <v>1.97</v>
      </c>
      <c r="G15" s="48">
        <v>3.34</v>
      </c>
      <c r="H15" s="48">
        <v>3.67</v>
      </c>
      <c r="I15" s="48">
        <v>3.9</v>
      </c>
      <c r="J15" s="48">
        <v>4.08</v>
      </c>
    </row>
    <row r="16" spans="1:10" ht="15">
      <c r="A16"/>
      <c r="E16" s="2">
        <v>999</v>
      </c>
      <c r="F16" s="48">
        <v>1.96</v>
      </c>
      <c r="G16" s="48">
        <v>3.31</v>
      </c>
      <c r="H16" s="48">
        <v>3.63</v>
      </c>
      <c r="I16" s="48">
        <v>3.86</v>
      </c>
      <c r="J16" s="48">
        <v>4.03</v>
      </c>
    </row>
    <row r="17" spans="1:5" ht="15">
      <c r="A17"/>
      <c r="E17" s="2" t="s">
        <v>49</v>
      </c>
    </row>
  </sheetData>
  <mergeCells count="2">
    <mergeCell ref="G1:J1"/>
    <mergeCell ref="A1:B1"/>
  </mergeCells>
  <phoneticPr fontId="2" type="noConversion"/>
  <dataValidations count="1">
    <dataValidation type="list" allowBlank="1" showInputMessage="1" showErrorMessage="1" sqref="B6" xr:uid="{00000000-0002-0000-0700-000000000000}">
      <formula1>$E$3:$E$16</formula1>
    </dataValidation>
  </dataValidations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"/>
  <sheetViews>
    <sheetView workbookViewId="0">
      <selection activeCell="I7" sqref="I7"/>
    </sheetView>
  </sheetViews>
  <sheetFormatPr defaultRowHeight="12.75"/>
  <cols>
    <col min="3" max="3" width="25.140625" bestFit="1" customWidth="1"/>
    <col min="4" max="4" width="14.140625" customWidth="1"/>
  </cols>
  <sheetData>
    <row r="1" spans="1:4" ht="15">
      <c r="A1" s="66" t="s">
        <v>120</v>
      </c>
      <c r="B1" s="56"/>
      <c r="C1" s="56"/>
    </row>
    <row r="3" spans="1:4" ht="15">
      <c r="C3" s="4" t="s">
        <v>121</v>
      </c>
      <c r="D3" s="19">
        <v>0.432</v>
      </c>
    </row>
    <row r="4" spans="1:4" ht="15">
      <c r="C4" s="4" t="s">
        <v>122</v>
      </c>
      <c r="D4" s="19">
        <v>3</v>
      </c>
    </row>
    <row r="5" spans="1:4" ht="15">
      <c r="C5" s="4"/>
      <c r="D5" s="19"/>
    </row>
    <row r="6" spans="1:4" ht="15">
      <c r="C6" s="4" t="s">
        <v>123</v>
      </c>
      <c r="D6" s="19">
        <v>0.36099999999999999</v>
      </c>
    </row>
    <row r="7" spans="1:4" ht="15">
      <c r="C7" s="4" t="s">
        <v>122</v>
      </c>
      <c r="D7" s="19">
        <v>2</v>
      </c>
    </row>
    <row r="8" spans="1:4" ht="15">
      <c r="C8" s="4"/>
      <c r="D8" s="19"/>
    </row>
    <row r="9" spans="1:4" ht="15">
      <c r="C9" s="4" t="s">
        <v>124</v>
      </c>
      <c r="D9" s="19">
        <v>200</v>
      </c>
    </row>
    <row r="12" spans="1:4" ht="15">
      <c r="C12" s="32" t="s">
        <v>125</v>
      </c>
      <c r="D12" s="52">
        <f xml:space="preserve"> (  (D3-D6) / (D4-D7) ) /  ( (1 - D3) / (D9 - D4 - 1) )</f>
        <v>24.5</v>
      </c>
    </row>
    <row r="13" spans="1:4" ht="15">
      <c r="C13" s="32" t="s">
        <v>126</v>
      </c>
      <c r="D13" s="31">
        <f xml:space="preserve"> D4-D7</f>
        <v>1</v>
      </c>
    </row>
    <row r="14" spans="1:4" ht="15">
      <c r="C14" s="32" t="s">
        <v>127</v>
      </c>
      <c r="D14" s="31">
        <f xml:space="preserve"> (D9-D4-1)</f>
        <v>196</v>
      </c>
    </row>
    <row r="15" spans="1:4" ht="15">
      <c r="C15" s="32" t="s">
        <v>90</v>
      </c>
      <c r="D15" s="31">
        <f xml:space="preserve"> FDIST(D12,D13,D14)</f>
        <v>1.5972246106707549E-6</v>
      </c>
    </row>
    <row r="19" spans="2:7">
      <c r="B19" s="71" t="s">
        <v>128</v>
      </c>
      <c r="C19" s="72"/>
      <c r="D19" s="72"/>
      <c r="E19" s="72"/>
      <c r="F19" s="72"/>
      <c r="G19" s="72"/>
    </row>
    <row r="20" spans="2:7">
      <c r="B20" s="72"/>
      <c r="C20" s="72"/>
      <c r="D20" s="72"/>
      <c r="E20" s="72"/>
      <c r="F20" s="72"/>
      <c r="G20" s="72"/>
    </row>
  </sheetData>
  <mergeCells count="2">
    <mergeCell ref="A1:C1"/>
    <mergeCell ref="B19:G2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5"/>
  <sheetViews>
    <sheetView workbookViewId="0">
      <selection activeCell="N19" sqref="N19"/>
    </sheetView>
  </sheetViews>
  <sheetFormatPr defaultRowHeight="12.75"/>
  <cols>
    <col min="4" max="4" width="12.42578125" bestFit="1" customWidth="1"/>
  </cols>
  <sheetData>
    <row r="1" spans="1:10" ht="13.9">
      <c r="A1" s="84" t="s">
        <v>129</v>
      </c>
      <c r="B1" s="85"/>
      <c r="C1" s="85"/>
      <c r="D1" s="85"/>
      <c r="E1" s="85"/>
      <c r="F1" s="80"/>
    </row>
    <row r="3" spans="1:10" ht="15">
      <c r="C3" s="24" t="s">
        <v>130</v>
      </c>
      <c r="D3" s="19">
        <v>0.3</v>
      </c>
    </row>
    <row r="4" spans="1:10" ht="15">
      <c r="C4" s="24" t="s">
        <v>131</v>
      </c>
      <c r="D4" s="19">
        <v>0.2</v>
      </c>
    </row>
    <row r="5" spans="1:10" ht="15">
      <c r="D5" s="19"/>
    </row>
    <row r="6" spans="1:10" ht="15">
      <c r="C6" s="24" t="s">
        <v>132</v>
      </c>
      <c r="D6" s="19">
        <v>0.5</v>
      </c>
    </row>
    <row r="7" spans="1:10" ht="15">
      <c r="C7" s="19" t="s">
        <v>133</v>
      </c>
      <c r="D7" s="19">
        <v>200</v>
      </c>
    </row>
    <row r="10" spans="1:10" ht="15">
      <c r="C10" s="25" t="s">
        <v>134</v>
      </c>
      <c r="D10" s="26">
        <f xml:space="preserve"> (D33-D34) * D35</f>
        <v>1.4620581222071776</v>
      </c>
    </row>
    <row r="11" spans="1:10" ht="15">
      <c r="C11" s="27" t="s">
        <v>90</v>
      </c>
      <c r="D11" s="28">
        <f xml:space="preserve"> NORMDIST(0,ABS(D10),1,TRUE) * 2</f>
        <v>0.14372528325153824</v>
      </c>
    </row>
    <row r="13" spans="1:10">
      <c r="A13" s="73" t="s">
        <v>135</v>
      </c>
      <c r="B13" s="73"/>
      <c r="C13" s="73"/>
      <c r="D13" s="73"/>
      <c r="E13" s="73"/>
      <c r="F13" s="73"/>
      <c r="G13" s="73"/>
      <c r="H13" s="73"/>
      <c r="I13" s="73"/>
      <c r="J13" s="73"/>
    </row>
    <row r="14" spans="1:10">
      <c r="A14" s="73"/>
      <c r="B14" s="73"/>
      <c r="C14" s="73"/>
      <c r="D14" s="73"/>
      <c r="E14" s="73"/>
      <c r="F14" s="73"/>
      <c r="G14" s="73"/>
      <c r="H14" s="73"/>
      <c r="I14" s="73"/>
      <c r="J14" s="73"/>
    </row>
    <row r="15" spans="1:10">
      <c r="A15" s="73"/>
      <c r="B15" s="73"/>
      <c r="C15" s="73"/>
      <c r="D15" s="73"/>
      <c r="E15" s="73"/>
      <c r="F15" s="73"/>
      <c r="G15" s="73"/>
      <c r="H15" s="73"/>
      <c r="I15" s="73"/>
      <c r="J15" s="73"/>
    </row>
    <row r="28" spans="2:4">
      <c r="B28" s="86" t="s">
        <v>136</v>
      </c>
      <c r="C28" s="80"/>
    </row>
    <row r="30" spans="2:4">
      <c r="C30" s="23" t="s">
        <v>137</v>
      </c>
      <c r="D30">
        <f xml:space="preserve"> ( (D3*D3) +(D4*D4) ) / 2</f>
        <v>6.5000000000000002E-2</v>
      </c>
    </row>
    <row r="31" spans="2:4">
      <c r="C31" s="23" t="s">
        <v>138</v>
      </c>
      <c r="D31">
        <f xml:space="preserve"> (1 - D6) / ( 2 * (1 - D30) )</f>
        <v>0.26737967914438499</v>
      </c>
    </row>
    <row r="32" spans="2:4">
      <c r="C32" s="23" t="s">
        <v>139</v>
      </c>
      <c r="D32">
        <f xml:space="preserve"> ( 1 - (D31 * D30)) / ( 1 - D30)</f>
        <v>1.0509308244445079</v>
      </c>
    </row>
    <row r="33" spans="3:4">
      <c r="C33" s="23" t="s">
        <v>140</v>
      </c>
      <c r="D33">
        <f xml:space="preserve"> FISHER(D3)</f>
        <v>0.30951960420311181</v>
      </c>
    </row>
    <row r="34" spans="3:4">
      <c r="C34" s="23" t="s">
        <v>141</v>
      </c>
      <c r="D34" s="23">
        <f xml:space="preserve"> FISHER(D4)</f>
        <v>0.20273255405408211</v>
      </c>
    </row>
    <row r="35" spans="3:4">
      <c r="C35" s="23" t="s">
        <v>142</v>
      </c>
      <c r="D35">
        <f xml:space="preserve"> ( SQRT(D7-3)) / SQRT( 2 * ( 1 - D6) * D32)</f>
        <v>13.691342912523202</v>
      </c>
    </row>
  </sheetData>
  <mergeCells count="3">
    <mergeCell ref="A1:F1"/>
    <mergeCell ref="B28:C28"/>
    <mergeCell ref="A13:J15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2"/>
  <sheetViews>
    <sheetView workbookViewId="0">
      <selection activeCell="I8" sqref="I8"/>
    </sheetView>
  </sheetViews>
  <sheetFormatPr defaultRowHeight="12.75"/>
  <sheetData>
    <row r="1" spans="1:9" ht="15">
      <c r="A1" s="87" t="s">
        <v>143</v>
      </c>
      <c r="B1" s="88"/>
      <c r="C1" s="88"/>
      <c r="D1" s="88"/>
      <c r="E1" s="88"/>
      <c r="F1" s="80"/>
      <c r="G1" s="80"/>
    </row>
    <row r="3" spans="1:9" ht="15">
      <c r="B3" s="23" t="s">
        <v>49</v>
      </c>
      <c r="C3" s="23" t="s">
        <v>144</v>
      </c>
      <c r="D3" s="11" t="s">
        <v>145</v>
      </c>
      <c r="E3" s="19">
        <v>0.111</v>
      </c>
    </row>
    <row r="4" spans="1:9" ht="15">
      <c r="D4" s="11" t="s">
        <v>146</v>
      </c>
      <c r="E4" s="19">
        <v>66</v>
      </c>
    </row>
    <row r="5" spans="1:9" ht="15">
      <c r="E5" s="19"/>
    </row>
    <row r="6" spans="1:9" ht="15">
      <c r="C6" s="23" t="s">
        <v>147</v>
      </c>
      <c r="D6" s="11" t="s">
        <v>145</v>
      </c>
      <c r="E6" s="19">
        <v>-0.28899999999999998</v>
      </c>
    </row>
    <row r="7" spans="1:9" ht="15">
      <c r="D7" s="11" t="s">
        <v>146</v>
      </c>
      <c r="E7" s="19">
        <v>170</v>
      </c>
    </row>
    <row r="10" spans="1:9" ht="15">
      <c r="D10" s="27" t="s">
        <v>134</v>
      </c>
      <c r="E10" s="26">
        <f xml:space="preserve"> (C27-C28) / C32</f>
        <v>2.765781583544852</v>
      </c>
    </row>
    <row r="11" spans="1:9" ht="15">
      <c r="D11" s="27" t="s">
        <v>90</v>
      </c>
      <c r="E11" s="28">
        <f xml:space="preserve"> NORMDIST(0,ABS(E10),1,TRUE) * 2</f>
        <v>5.6786555149635444E-3</v>
      </c>
    </row>
    <row r="14" spans="1:9">
      <c r="B14" s="74" t="s">
        <v>148</v>
      </c>
      <c r="C14" s="74"/>
      <c r="D14" s="74"/>
      <c r="E14" s="74"/>
      <c r="F14" s="74"/>
      <c r="G14" s="74"/>
      <c r="H14" s="74"/>
      <c r="I14" s="74"/>
    </row>
    <row r="15" spans="1:9">
      <c r="B15" s="74"/>
      <c r="C15" s="74"/>
      <c r="D15" s="74"/>
      <c r="E15" s="74"/>
      <c r="F15" s="74"/>
      <c r="G15" s="74"/>
      <c r="H15" s="74"/>
      <c r="I15" s="74"/>
    </row>
    <row r="16" spans="1:9">
      <c r="B16" s="74"/>
      <c r="C16" s="74"/>
      <c r="D16" s="74"/>
      <c r="E16" s="74"/>
      <c r="F16" s="74"/>
      <c r="G16" s="74"/>
      <c r="H16" s="74"/>
      <c r="I16" s="74"/>
    </row>
    <row r="26" spans="1:3">
      <c r="A26" s="86" t="s">
        <v>149</v>
      </c>
      <c r="B26" s="80"/>
      <c r="C26" s="80"/>
    </row>
    <row r="27" spans="1:3">
      <c r="B27" s="23" t="s">
        <v>150</v>
      </c>
      <c r="C27">
        <f xml:space="preserve"> FISHER(E3)</f>
        <v>0.11145927706286274</v>
      </c>
    </row>
    <row r="28" spans="1:3">
      <c r="B28" s="23" t="s">
        <v>151</v>
      </c>
      <c r="C28">
        <f xml:space="preserve"> FISHER(E6)</f>
        <v>-0.29747478656797316</v>
      </c>
    </row>
    <row r="29" spans="1:3">
      <c r="B29" s="23" t="s">
        <v>152</v>
      </c>
      <c r="C29">
        <f xml:space="preserve"> 1 / (E4-3)</f>
        <v>1.5873015873015872E-2</v>
      </c>
    </row>
    <row r="30" spans="1:3">
      <c r="B30" s="23" t="s">
        <v>153</v>
      </c>
      <c r="C30">
        <f xml:space="preserve"> 1 / (E7-3)</f>
        <v>5.9880239520958087E-3</v>
      </c>
    </row>
    <row r="31" spans="1:3">
      <c r="B31" s="23" t="s">
        <v>154</v>
      </c>
      <c r="C31">
        <f xml:space="preserve"> C29+C30</f>
        <v>2.1861039825111679E-2</v>
      </c>
    </row>
    <row r="32" spans="1:3">
      <c r="B32" s="23" t="s">
        <v>155</v>
      </c>
      <c r="C32" s="23">
        <f xml:space="preserve"> SQRT(C29+C30)</f>
        <v>0.14785479304071167</v>
      </c>
    </row>
  </sheetData>
  <mergeCells count="3">
    <mergeCell ref="A1:G1"/>
    <mergeCell ref="A26:C26"/>
    <mergeCell ref="B14:I1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5"/>
  <sheetViews>
    <sheetView topLeftCell="A7" workbookViewId="0">
      <selection activeCell="L18" sqref="L18"/>
    </sheetView>
  </sheetViews>
  <sheetFormatPr defaultRowHeight="12.75"/>
  <cols>
    <col min="4" max="4" width="10" bestFit="1" customWidth="1"/>
    <col min="5" max="5" width="10.42578125" bestFit="1" customWidth="1"/>
    <col min="6" max="6" width="15.85546875" bestFit="1" customWidth="1"/>
  </cols>
  <sheetData>
    <row r="1" spans="1:9" ht="15">
      <c r="A1" s="44" t="s">
        <v>156</v>
      </c>
      <c r="B1" s="44"/>
      <c r="C1" s="44"/>
      <c r="D1" s="44"/>
      <c r="E1" s="44"/>
      <c r="F1" s="45"/>
      <c r="G1" s="45"/>
      <c r="H1" s="45"/>
      <c r="I1" s="45"/>
    </row>
    <row r="2" spans="1:9" ht="15">
      <c r="A2" s="19"/>
      <c r="B2" s="19"/>
      <c r="C2" s="19"/>
      <c r="D2" s="19"/>
      <c r="E2" s="19"/>
    </row>
    <row r="3" spans="1:9" ht="13.9">
      <c r="A3" s="50" t="s">
        <v>157</v>
      </c>
      <c r="B3">
        <v>2.6979999999999999E-3</v>
      </c>
    </row>
    <row r="4" spans="1:9" ht="15">
      <c r="A4" s="50" t="s">
        <v>158</v>
      </c>
      <c r="B4">
        <v>2.145</v>
      </c>
      <c r="D4" s="19" t="s">
        <v>144</v>
      </c>
      <c r="E4" s="4" t="s">
        <v>157</v>
      </c>
      <c r="F4" s="29">
        <v>2.6979999999999999E-3</v>
      </c>
    </row>
    <row r="5" spans="1:9" ht="15">
      <c r="A5" s="51" t="s">
        <v>159</v>
      </c>
      <c r="B5">
        <f>B3/B4</f>
        <v>1.2578088578088578E-3</v>
      </c>
      <c r="D5" s="19"/>
      <c r="E5" s="4" t="s">
        <v>159</v>
      </c>
      <c r="F5" s="29">
        <v>1.258E-3</v>
      </c>
    </row>
    <row r="6" spans="1:9" ht="15">
      <c r="D6" s="67" t="s">
        <v>160</v>
      </c>
      <c r="E6" s="67"/>
      <c r="F6" s="29">
        <v>60</v>
      </c>
    </row>
    <row r="7" spans="1:9" ht="15">
      <c r="D7" s="19"/>
      <c r="E7" s="4"/>
      <c r="F7" s="19"/>
    </row>
    <row r="8" spans="1:9" ht="15">
      <c r="D8" s="19" t="s">
        <v>147</v>
      </c>
      <c r="E8" s="4" t="s">
        <v>157</v>
      </c>
      <c r="F8" s="29">
        <v>8.5880000000000001E-3</v>
      </c>
    </row>
    <row r="9" spans="1:9" ht="15">
      <c r="D9" s="19"/>
      <c r="E9" s="4" t="s">
        <v>159</v>
      </c>
      <c r="F9" s="29">
        <v>7.5699999999999997E-4</v>
      </c>
    </row>
    <row r="10" spans="1:9" ht="15">
      <c r="D10" s="67" t="s">
        <v>160</v>
      </c>
      <c r="E10" s="67"/>
      <c r="F10" s="29">
        <v>72</v>
      </c>
    </row>
    <row r="13" spans="1:9" ht="15">
      <c r="B13" s="31"/>
      <c r="C13" s="76" t="s">
        <v>161</v>
      </c>
      <c r="D13" s="76"/>
      <c r="E13" s="32" t="s">
        <v>162</v>
      </c>
      <c r="F13" s="31">
        <f xml:space="preserve"> SQRT(  ( (F6*F5^2) + (F10*F9^2)  )  / (F6+F10) )</f>
        <v>1.0158343637352767E-3</v>
      </c>
    </row>
    <row r="14" spans="1:9" ht="15">
      <c r="B14" s="31"/>
      <c r="C14" s="31"/>
      <c r="D14" s="31"/>
      <c r="E14" s="32" t="s">
        <v>134</v>
      </c>
      <c r="F14" s="31">
        <f xml:space="preserve">  ABS(F4-F8) / F13</f>
        <v>5.7981893606573403</v>
      </c>
    </row>
    <row r="15" spans="1:9" ht="15">
      <c r="B15" s="31"/>
      <c r="C15" s="31"/>
      <c r="D15" s="31"/>
      <c r="E15" s="32" t="s">
        <v>90</v>
      </c>
      <c r="F15" s="31">
        <f xml:space="preserve"> NORMDIST(0,ABS(F14),1,TRUE) * 2</f>
        <v>6.703473475017588E-9</v>
      </c>
    </row>
    <row r="16" spans="1:9" ht="15">
      <c r="B16" s="31"/>
      <c r="C16" s="31"/>
      <c r="D16" s="31"/>
      <c r="E16" s="31"/>
      <c r="F16" s="31"/>
    </row>
    <row r="17" spans="2:10" ht="15">
      <c r="B17" s="31"/>
      <c r="C17" s="31"/>
      <c r="D17" s="31"/>
      <c r="E17" s="31"/>
      <c r="F17" s="31"/>
    </row>
    <row r="18" spans="2:10" ht="15">
      <c r="B18" s="76" t="s">
        <v>163</v>
      </c>
      <c r="C18" s="76"/>
      <c r="D18" s="76"/>
      <c r="E18" s="32" t="s">
        <v>162</v>
      </c>
      <c r="F18" s="33">
        <f>SQRT(F5^2 + F9^2)</f>
        <v>1.46820059937326E-3</v>
      </c>
    </row>
    <row r="19" spans="2:10" ht="15">
      <c r="B19" s="76" t="s">
        <v>164</v>
      </c>
      <c r="C19" s="76"/>
      <c r="D19" s="76"/>
      <c r="E19" s="32" t="s">
        <v>134</v>
      </c>
      <c r="F19" s="31">
        <f xml:space="preserve"> ABS((F4-F8)/F18)</f>
        <v>4.0117133874719171</v>
      </c>
    </row>
    <row r="20" spans="2:10" ht="15">
      <c r="B20" s="31"/>
      <c r="C20" s="31"/>
      <c r="D20" s="31"/>
      <c r="E20" s="32" t="s">
        <v>90</v>
      </c>
      <c r="F20" s="31">
        <f xml:space="preserve"> NORMDIST(0,ABS(F19),1,TRUE) * 2</f>
        <v>6.0279656392308437E-5</v>
      </c>
    </row>
    <row r="23" spans="2:10" ht="12.75" customHeight="1">
      <c r="C23" s="75" t="s">
        <v>165</v>
      </c>
      <c r="D23" s="75"/>
      <c r="E23" s="75"/>
      <c r="F23" s="75"/>
      <c r="G23" s="75"/>
      <c r="H23" s="75"/>
      <c r="I23" s="75"/>
      <c r="J23" s="75"/>
    </row>
    <row r="24" spans="2:10">
      <c r="C24" s="75"/>
      <c r="D24" s="75"/>
      <c r="E24" s="75"/>
      <c r="F24" s="75"/>
      <c r="G24" s="75"/>
      <c r="H24" s="75"/>
      <c r="I24" s="75"/>
      <c r="J24" s="75"/>
    </row>
    <row r="25" spans="2:10">
      <c r="C25" s="75"/>
      <c r="D25" s="75"/>
      <c r="E25" s="75"/>
      <c r="F25" s="75"/>
      <c r="G25" s="75"/>
      <c r="H25" s="75"/>
      <c r="I25" s="75"/>
      <c r="J25" s="75"/>
    </row>
  </sheetData>
  <mergeCells count="6">
    <mergeCell ref="C23:J25"/>
    <mergeCell ref="C13:D13"/>
    <mergeCell ref="B18:D18"/>
    <mergeCell ref="B19:D19"/>
    <mergeCell ref="D6:E6"/>
    <mergeCell ref="D10:E10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4"/>
  <sheetViews>
    <sheetView workbookViewId="0">
      <selection activeCell="F18" sqref="F18"/>
    </sheetView>
  </sheetViews>
  <sheetFormatPr defaultRowHeight="12.75"/>
  <cols>
    <col min="2" max="2" width="11" bestFit="1" customWidth="1"/>
    <col min="3" max="4" width="26.42578125" bestFit="1" customWidth="1"/>
    <col min="5" max="5" width="24.28515625" bestFit="1" customWidth="1"/>
  </cols>
  <sheetData>
    <row r="1" spans="1:5" ht="15">
      <c r="A1" s="70" t="s">
        <v>166</v>
      </c>
      <c r="B1" s="77"/>
      <c r="C1" s="77"/>
    </row>
    <row r="3" spans="1:5" ht="15">
      <c r="B3" s="19"/>
      <c r="C3" s="19"/>
      <c r="D3" s="68" t="s">
        <v>167</v>
      </c>
      <c r="E3" s="68"/>
    </row>
    <row r="4" spans="1:5" ht="20.25" customHeight="1">
      <c r="B4" s="19"/>
      <c r="C4" s="19"/>
      <c r="D4" s="19" t="s">
        <v>168</v>
      </c>
      <c r="E4" s="19" t="s">
        <v>169</v>
      </c>
    </row>
    <row r="5" spans="1:5" ht="19.5" customHeight="1">
      <c r="B5" s="19" t="s">
        <v>170</v>
      </c>
      <c r="C5" s="19" t="s">
        <v>168</v>
      </c>
      <c r="D5" s="30">
        <v>37</v>
      </c>
      <c r="E5" s="30">
        <v>26</v>
      </c>
    </row>
    <row r="6" spans="1:5" ht="20.25" customHeight="1">
      <c r="B6" s="19"/>
      <c r="C6" s="19" t="s">
        <v>169</v>
      </c>
      <c r="D6" s="30">
        <v>44</v>
      </c>
      <c r="E6" s="30">
        <v>78</v>
      </c>
    </row>
    <row r="9" spans="1:5" ht="15">
      <c r="D9" s="32" t="s">
        <v>171</v>
      </c>
      <c r="E9" s="52">
        <f xml:space="preserve"> (D6 - E5)^2 / (D6+E5)</f>
        <v>4.628571428571429</v>
      </c>
    </row>
    <row r="10" spans="1:5" ht="15">
      <c r="D10" s="32" t="s">
        <v>90</v>
      </c>
      <c r="E10" s="31">
        <f xml:space="preserve"> CHIDIST(E9,1)</f>
        <v>3.1443734545892353E-2</v>
      </c>
    </row>
    <row r="11" spans="1:5">
      <c r="D11" s="1"/>
    </row>
    <row r="12" spans="1:5">
      <c r="D12" s="1"/>
    </row>
    <row r="13" spans="1:5" ht="15">
      <c r="D13" s="32" t="s">
        <v>172</v>
      </c>
      <c r="E13" s="53">
        <f xml:space="preserve"> ( ABS(D6-E5) - 0.5)^2 / (D6 +E5)</f>
        <v>4.375</v>
      </c>
    </row>
    <row r="14" spans="1:5" ht="15">
      <c r="D14" s="32" t="s">
        <v>90</v>
      </c>
      <c r="E14" s="31">
        <f xml:space="preserve"> CHIDIST(E13,1)</f>
        <v>3.6469830356026543E-2</v>
      </c>
    </row>
  </sheetData>
  <mergeCells count="2">
    <mergeCell ref="D3:E3"/>
    <mergeCell ref="A1:C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2"/>
  <sheetViews>
    <sheetView workbookViewId="0">
      <selection activeCell="F10" sqref="F10"/>
    </sheetView>
  </sheetViews>
  <sheetFormatPr defaultRowHeight="12.75"/>
  <cols>
    <col min="5" max="5" width="20.5703125" bestFit="1" customWidth="1"/>
    <col min="6" max="6" width="15" customWidth="1"/>
  </cols>
  <sheetData>
    <row r="1" spans="1:6" ht="15">
      <c r="A1" s="44" t="s">
        <v>173</v>
      </c>
      <c r="B1" s="44"/>
      <c r="C1" s="44"/>
      <c r="D1" s="44"/>
      <c r="E1" s="45"/>
    </row>
    <row r="3" spans="1:6" ht="15">
      <c r="C3" s="67" t="s">
        <v>174</v>
      </c>
      <c r="D3" s="67"/>
      <c r="E3" s="67"/>
      <c r="F3" s="29">
        <v>25.550999999999998</v>
      </c>
    </row>
    <row r="4" spans="1:6" ht="15">
      <c r="C4" s="67" t="s">
        <v>175</v>
      </c>
      <c r="D4" s="67"/>
      <c r="E4" s="67"/>
      <c r="F4" s="29">
        <v>7</v>
      </c>
    </row>
    <row r="5" spans="1:6" ht="15">
      <c r="C5" s="4"/>
      <c r="D5" s="4"/>
      <c r="E5" s="4"/>
      <c r="F5" s="29"/>
    </row>
    <row r="6" spans="1:6" ht="15">
      <c r="C6" s="67" t="s">
        <v>176</v>
      </c>
      <c r="D6" s="67"/>
      <c r="E6" s="67"/>
      <c r="F6" s="29">
        <v>6.0910000000000002</v>
      </c>
    </row>
    <row r="7" spans="1:6" ht="15">
      <c r="C7" s="67" t="s">
        <v>175</v>
      </c>
      <c r="D7" s="67"/>
      <c r="E7" s="67"/>
      <c r="F7" s="29">
        <v>2</v>
      </c>
    </row>
    <row r="10" spans="1:6" ht="15">
      <c r="E10" s="32" t="s">
        <v>177</v>
      </c>
      <c r="F10" s="52">
        <f xml:space="preserve"> (F3-F6)</f>
        <v>19.459999999999997</v>
      </c>
    </row>
    <row r="11" spans="1:6" ht="15">
      <c r="E11" s="32" t="s">
        <v>178</v>
      </c>
      <c r="F11" s="31">
        <f xml:space="preserve"> F4-F7</f>
        <v>5</v>
      </c>
    </row>
    <row r="12" spans="1:6" ht="15">
      <c r="E12" s="32" t="s">
        <v>90</v>
      </c>
      <c r="F12" s="31">
        <f xml:space="preserve"> CHIDIST(F10,F11)</f>
        <v>1.577437655800323E-3</v>
      </c>
    </row>
  </sheetData>
  <mergeCells count="4">
    <mergeCell ref="C3:E3"/>
    <mergeCell ref="C4:E4"/>
    <mergeCell ref="C6:E6"/>
    <mergeCell ref="C7:E7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25"/>
  <sheetViews>
    <sheetView workbookViewId="0">
      <selection activeCell="E4" sqref="E4"/>
    </sheetView>
  </sheetViews>
  <sheetFormatPr defaultRowHeight="12.75"/>
  <sheetData>
    <row r="1" spans="1:14" ht="15">
      <c r="A1" s="66" t="s">
        <v>179</v>
      </c>
      <c r="B1" s="79"/>
      <c r="C1" s="79"/>
      <c r="D1" s="79"/>
      <c r="E1" s="79"/>
    </row>
    <row r="3" spans="1:14" ht="18.75" customHeight="1">
      <c r="B3" s="78" t="s">
        <v>180</v>
      </c>
      <c r="C3" s="78"/>
      <c r="D3" s="78"/>
      <c r="F3" s="78" t="s">
        <v>181</v>
      </c>
      <c r="G3" s="78"/>
      <c r="H3" s="78"/>
    </row>
    <row r="4" spans="1:14">
      <c r="B4" s="78"/>
      <c r="C4" s="78"/>
      <c r="D4" s="78"/>
      <c r="F4" s="78"/>
      <c r="G4" s="78"/>
      <c r="H4" s="78"/>
    </row>
    <row r="5" spans="1:14" ht="14.25">
      <c r="B5" s="78" t="s">
        <v>182</v>
      </c>
      <c r="C5" s="78"/>
      <c r="D5" s="78"/>
      <c r="F5" s="78" t="s">
        <v>182</v>
      </c>
      <c r="G5" s="78"/>
      <c r="H5" s="78"/>
    </row>
    <row r="6" spans="1:14" ht="15.75">
      <c r="B6" s="35" t="s">
        <v>183</v>
      </c>
      <c r="D6" s="36" t="s">
        <v>184</v>
      </c>
      <c r="F6" s="35" t="s">
        <v>183</v>
      </c>
      <c r="H6" s="36" t="s">
        <v>184</v>
      </c>
      <c r="M6" t="s">
        <v>185</v>
      </c>
      <c r="N6" t="s">
        <v>186</v>
      </c>
    </row>
    <row r="7" spans="1:14" ht="15.75">
      <c r="B7" s="37">
        <v>0.16900000000000001</v>
      </c>
      <c r="D7" s="38">
        <f xml:space="preserve"> SQRT(1 - B7)</f>
        <v>0.91159201400626588</v>
      </c>
      <c r="F7" s="37">
        <v>0.16800000000000001</v>
      </c>
      <c r="H7" s="39">
        <f t="shared" ref="H7:H21" si="0" xml:space="preserve"> SQRT(1 - F7)</f>
        <v>0.91214034007931033</v>
      </c>
      <c r="M7">
        <f xml:space="preserve"> MIN(D7*D7,1)</f>
        <v>0.83100000000000007</v>
      </c>
      <c r="N7">
        <f xml:space="preserve"> MIN(H7*H7,1)</f>
        <v>0.83199999999999985</v>
      </c>
    </row>
    <row r="8" spans="1:14" ht="15.75">
      <c r="B8" s="37">
        <v>0.496</v>
      </c>
      <c r="D8" s="38">
        <f t="shared" ref="D8:D21" si="1" xml:space="preserve"> SQRT(1 - B8)</f>
        <v>0.70992957397195389</v>
      </c>
      <c r="F8" s="37">
        <v>0.496</v>
      </c>
      <c r="H8" s="39">
        <f t="shared" si="0"/>
        <v>0.70992957397195389</v>
      </c>
      <c r="M8">
        <f t="shared" ref="M8:M21" si="2" xml:space="preserve"> MIN(D8*D8,1)</f>
        <v>0.50399999999999989</v>
      </c>
      <c r="N8">
        <f t="shared" ref="N8:N21" si="3" xml:space="preserve"> MIN(H8*H8,1)</f>
        <v>0.50399999999999989</v>
      </c>
    </row>
    <row r="9" spans="1:14" ht="15.75">
      <c r="B9" s="37"/>
      <c r="D9" s="38">
        <f t="shared" si="1"/>
        <v>1</v>
      </c>
      <c r="F9" s="37"/>
      <c r="H9" s="39">
        <f t="shared" si="0"/>
        <v>1</v>
      </c>
      <c r="M9">
        <f t="shared" si="2"/>
        <v>1</v>
      </c>
      <c r="N9">
        <f t="shared" si="3"/>
        <v>1</v>
      </c>
    </row>
    <row r="10" spans="1:14" ht="15.75">
      <c r="B10" s="37"/>
      <c r="D10" s="38">
        <f t="shared" si="1"/>
        <v>1</v>
      </c>
      <c r="E10" s="34"/>
      <c r="F10" s="37"/>
      <c r="H10" s="39">
        <f t="shared" si="0"/>
        <v>1</v>
      </c>
      <c r="M10">
        <f t="shared" si="2"/>
        <v>1</v>
      </c>
      <c r="N10">
        <f t="shared" si="3"/>
        <v>1</v>
      </c>
    </row>
    <row r="11" spans="1:14" ht="15.75">
      <c r="B11" s="37"/>
      <c r="D11" s="38">
        <f t="shared" si="1"/>
        <v>1</v>
      </c>
      <c r="E11" s="34"/>
      <c r="F11" s="37"/>
      <c r="H11" s="39">
        <f t="shared" si="0"/>
        <v>1</v>
      </c>
      <c r="M11">
        <f t="shared" si="2"/>
        <v>1</v>
      </c>
      <c r="N11">
        <f t="shared" si="3"/>
        <v>1</v>
      </c>
    </row>
    <row r="12" spans="1:14" ht="15.75">
      <c r="B12" s="37"/>
      <c r="D12" s="38">
        <f t="shared" si="1"/>
        <v>1</v>
      </c>
      <c r="E12" s="34"/>
      <c r="F12" s="37"/>
      <c r="H12" s="39">
        <f t="shared" si="0"/>
        <v>1</v>
      </c>
      <c r="M12">
        <f t="shared" si="2"/>
        <v>1</v>
      </c>
      <c r="N12">
        <f t="shared" si="3"/>
        <v>1</v>
      </c>
    </row>
    <row r="13" spans="1:14" ht="15.75">
      <c r="B13" s="37"/>
      <c r="D13" s="38">
        <f t="shared" si="1"/>
        <v>1</v>
      </c>
      <c r="E13" s="34"/>
      <c r="F13" s="37"/>
      <c r="H13" s="39">
        <f t="shared" si="0"/>
        <v>1</v>
      </c>
      <c r="M13">
        <f t="shared" si="2"/>
        <v>1</v>
      </c>
      <c r="N13">
        <f t="shared" si="3"/>
        <v>1</v>
      </c>
    </row>
    <row r="14" spans="1:14" ht="15.75">
      <c r="B14" s="37"/>
      <c r="D14" s="38">
        <f t="shared" si="1"/>
        <v>1</v>
      </c>
      <c r="F14" s="37"/>
      <c r="H14" s="39">
        <f t="shared" si="0"/>
        <v>1</v>
      </c>
      <c r="M14">
        <f t="shared" si="2"/>
        <v>1</v>
      </c>
      <c r="N14">
        <f t="shared" si="3"/>
        <v>1</v>
      </c>
    </row>
    <row r="15" spans="1:14" ht="15.75">
      <c r="B15" s="37"/>
      <c r="D15" s="38">
        <f t="shared" si="1"/>
        <v>1</v>
      </c>
      <c r="F15" s="37"/>
      <c r="H15" s="39">
        <f t="shared" si="0"/>
        <v>1</v>
      </c>
      <c r="M15">
        <f t="shared" si="2"/>
        <v>1</v>
      </c>
      <c r="N15">
        <f t="shared" si="3"/>
        <v>1</v>
      </c>
    </row>
    <row r="16" spans="1:14" ht="15.75">
      <c r="B16" s="37"/>
      <c r="D16" s="38">
        <f t="shared" si="1"/>
        <v>1</v>
      </c>
      <c r="F16" s="37"/>
      <c r="H16" s="39">
        <f t="shared" si="0"/>
        <v>1</v>
      </c>
      <c r="M16">
        <f t="shared" si="2"/>
        <v>1</v>
      </c>
      <c r="N16">
        <f t="shared" si="3"/>
        <v>1</v>
      </c>
    </row>
    <row r="17" spans="2:14" ht="15.75">
      <c r="B17" s="37"/>
      <c r="D17" s="38">
        <f t="shared" si="1"/>
        <v>1</v>
      </c>
      <c r="F17" s="37"/>
      <c r="H17" s="39">
        <f t="shared" si="0"/>
        <v>1</v>
      </c>
      <c r="M17">
        <f t="shared" si="2"/>
        <v>1</v>
      </c>
      <c r="N17">
        <f t="shared" si="3"/>
        <v>1</v>
      </c>
    </row>
    <row r="18" spans="2:14" ht="15.75">
      <c r="B18" s="37"/>
      <c r="D18" s="38">
        <f t="shared" si="1"/>
        <v>1</v>
      </c>
      <c r="F18" s="37"/>
      <c r="H18" s="39">
        <f t="shared" si="0"/>
        <v>1</v>
      </c>
      <c r="M18">
        <f t="shared" si="2"/>
        <v>1</v>
      </c>
      <c r="N18">
        <f t="shared" si="3"/>
        <v>1</v>
      </c>
    </row>
    <row r="19" spans="2:14" ht="15.75">
      <c r="B19" s="37"/>
      <c r="D19" s="38">
        <f t="shared" si="1"/>
        <v>1</v>
      </c>
      <c r="F19" s="37"/>
      <c r="H19" s="39">
        <f t="shared" si="0"/>
        <v>1</v>
      </c>
      <c r="M19">
        <f t="shared" si="2"/>
        <v>1</v>
      </c>
      <c r="N19">
        <f t="shared" si="3"/>
        <v>1</v>
      </c>
    </row>
    <row r="20" spans="2:14" ht="15.75">
      <c r="B20" s="37"/>
      <c r="D20" s="38">
        <f t="shared" si="1"/>
        <v>1</v>
      </c>
      <c r="F20" s="37"/>
      <c r="H20" s="39">
        <f t="shared" si="0"/>
        <v>1</v>
      </c>
      <c r="M20">
        <f t="shared" si="2"/>
        <v>1</v>
      </c>
      <c r="N20">
        <f t="shared" si="3"/>
        <v>1</v>
      </c>
    </row>
    <row r="21" spans="2:14" ht="15.75">
      <c r="B21" s="37"/>
      <c r="D21" s="38">
        <f t="shared" si="1"/>
        <v>1</v>
      </c>
      <c r="F21" s="37"/>
      <c r="H21" s="39">
        <f t="shared" si="0"/>
        <v>1</v>
      </c>
      <c r="M21">
        <f t="shared" si="2"/>
        <v>1</v>
      </c>
      <c r="N21">
        <f t="shared" si="3"/>
        <v>1</v>
      </c>
    </row>
    <row r="22" spans="2:14" ht="15.75">
      <c r="B22" s="40" t="s">
        <v>187</v>
      </c>
      <c r="C22" s="37">
        <v>300</v>
      </c>
      <c r="E22" s="40" t="s">
        <v>99</v>
      </c>
      <c r="F22" s="37">
        <v>2</v>
      </c>
    </row>
    <row r="23" spans="2:14" ht="15.75">
      <c r="B23" s="41" t="s">
        <v>188</v>
      </c>
      <c r="C23" s="41"/>
      <c r="D23" s="39">
        <f xml:space="preserve"> 1 - (M7*M8*M9*M10*M11*M12*M13*M14*M15*M16*M17*M18*M19*M20*M21)</f>
        <v>0.58117600000000003</v>
      </c>
      <c r="E23" s="39"/>
      <c r="F23" s="41" t="s">
        <v>188</v>
      </c>
      <c r="G23" s="41"/>
      <c r="H23" s="39">
        <f xml:space="preserve"> 1 - (N7*N8*N9*N10*N11*N12*N13*N14*N15*N16*N17*N18*N19*N20*N21)</f>
        <v>0.58067200000000019</v>
      </c>
    </row>
    <row r="24" spans="2:14" ht="15.75">
      <c r="B24" s="41"/>
      <c r="C24" s="41"/>
      <c r="D24" s="39"/>
      <c r="E24" s="39"/>
      <c r="F24" s="41"/>
      <c r="G24" s="41"/>
      <c r="H24" s="39"/>
    </row>
    <row r="25" spans="2:14" ht="15.75">
      <c r="B25" s="41" t="s">
        <v>189</v>
      </c>
      <c r="C25" s="39">
        <f xml:space="preserve"> (1-D23) / (1-H23)</f>
        <v>0.99879807692307732</v>
      </c>
      <c r="D25" s="39"/>
      <c r="E25" s="41" t="s">
        <v>190</v>
      </c>
      <c r="F25" s="39">
        <f xml:space="preserve"> -1*(C22-F22) * LN(C25)</f>
        <v>0.35838849779648241</v>
      </c>
      <c r="G25" s="41" t="s">
        <v>90</v>
      </c>
      <c r="H25" s="39">
        <f xml:space="preserve"> CHIDIST(F25,F22)</f>
        <v>0.83594350252048244</v>
      </c>
    </row>
  </sheetData>
  <mergeCells count="5">
    <mergeCell ref="B3:D4"/>
    <mergeCell ref="F3:H4"/>
    <mergeCell ref="B5:D5"/>
    <mergeCell ref="F5:H5"/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Preferred Customer</dc:creator>
  <cp:keywords/>
  <dc:description/>
  <cp:lastModifiedBy>Guest User</cp:lastModifiedBy>
  <cp:revision/>
  <dcterms:created xsi:type="dcterms:W3CDTF">2012-03-15T03:32:14Z</dcterms:created>
  <dcterms:modified xsi:type="dcterms:W3CDTF">2022-01-04T20:56:30Z</dcterms:modified>
  <cp:category/>
  <cp:contentStatus/>
</cp:coreProperties>
</file>